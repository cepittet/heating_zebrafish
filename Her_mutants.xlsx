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FBBEE713362DF8AC/EPFL/MA1/Scientific project design/heating_zebrafish/"/>
    </mc:Choice>
  </mc:AlternateContent>
  <xr:revisionPtr revIDLastSave="3610" documentId="7_{08110E90-EEBB-7A45-9D09-FB8F7AEE7293}" xr6:coauthVersionLast="47" xr6:coauthVersionMax="47" xr10:uidLastSave="{087AD9AD-E7DD-4B42-803D-EA03A0AEBC3D}"/>
  <bookViews>
    <workbookView xWindow="-89" yWindow="0" windowWidth="10811" windowHeight="11332" firstSheet="11" activeTab="13" xr2:uid="{69632F40-4D28-4C5D-BDDB-431542D12187}"/>
  </bookViews>
  <sheets>
    <sheet name="Summary" sheetId="1" r:id="rId1"/>
    <sheet name="WT" sheetId="2" r:id="rId2"/>
    <sheet name="Her7" sheetId="3" r:id="rId3"/>
    <sheet name="Her1" sheetId="8" r:id="rId4"/>
    <sheet name="Loop" sheetId="4" r:id="rId5"/>
    <sheet name="Analysis" sheetId="23" r:id="rId6"/>
    <sheet name="WT_c" sheetId="5" r:id="rId7"/>
    <sheet name="WT_35" sheetId="6" r:id="rId8"/>
    <sheet name="WT_37" sheetId="7" r:id="rId9"/>
    <sheet name="WT_39" sheetId="9" r:id="rId10"/>
    <sheet name="her1_c" sheetId="10" r:id="rId11"/>
    <sheet name="her1_35" sheetId="11" r:id="rId12"/>
    <sheet name="her1_37" sheetId="12" r:id="rId13"/>
    <sheet name="her1_39" sheetId="13" r:id="rId14"/>
    <sheet name="loop_c" sheetId="14" r:id="rId15"/>
    <sheet name="loop_35" sheetId="15" r:id="rId16"/>
    <sheet name="loop_37" sheetId="16" r:id="rId17"/>
    <sheet name="loop_39" sheetId="17" r:id="rId18"/>
    <sheet name="her7_c" sheetId="18" r:id="rId19"/>
    <sheet name="her7_35" sheetId="19" r:id="rId20"/>
    <sheet name="her7_39" sheetId="2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" i="21" l="1"/>
  <c r="AC11" i="21"/>
  <c r="AC12" i="21"/>
  <c r="AC13" i="21"/>
  <c r="AC14" i="21"/>
  <c r="AC15" i="21"/>
  <c r="AC13" i="17"/>
  <c r="AB13" i="15"/>
  <c r="AB14" i="15"/>
  <c r="AB15" i="15"/>
  <c r="AB16" i="15"/>
  <c r="AC9" i="13"/>
  <c r="AC10" i="13"/>
  <c r="AC12" i="12"/>
  <c r="AC13" i="12"/>
  <c r="AC2" i="12"/>
  <c r="AC3" i="12"/>
  <c r="AC4" i="11"/>
  <c r="AC5" i="11"/>
  <c r="AC13" i="10"/>
  <c r="R2" i="23" l="1"/>
  <c r="S2" i="23"/>
  <c r="T2" i="23"/>
  <c r="U2" i="23"/>
  <c r="V2" i="23"/>
  <c r="W2" i="23"/>
  <c r="X2" i="23"/>
  <c r="Y2" i="23"/>
  <c r="Z2" i="23"/>
  <c r="AA2" i="23"/>
  <c r="AB2" i="23"/>
  <c r="AC2" i="23"/>
  <c r="AD2" i="23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D2" i="23"/>
  <c r="C2" i="23"/>
  <c r="B14" i="11"/>
  <c r="B16" i="10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B13" i="9"/>
  <c r="B12" i="9"/>
  <c r="B11" i="9"/>
  <c r="B10" i="9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B15" i="6"/>
  <c r="B14" i="6"/>
  <c r="B13" i="6"/>
  <c r="B12" i="6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B16" i="5"/>
  <c r="B15" i="5"/>
  <c r="B13" i="5"/>
  <c r="B14" i="5"/>
  <c r="AC2" i="7"/>
  <c r="AC3" i="7"/>
  <c r="AC4" i="7"/>
  <c r="AC5" i="7"/>
  <c r="AC16" i="7"/>
  <c r="AC15" i="7"/>
  <c r="AC14" i="7"/>
  <c r="AC13" i="7"/>
  <c r="AC12" i="7"/>
  <c r="AC11" i="7"/>
  <c r="AC10" i="7"/>
  <c r="AC9" i="7"/>
  <c r="AC8" i="7"/>
  <c r="AC7" i="7"/>
  <c r="AC6" i="7"/>
  <c r="AC17" i="7"/>
  <c r="AC2" i="9"/>
  <c r="AC3" i="9"/>
  <c r="AC4" i="9"/>
  <c r="AC5" i="9"/>
  <c r="AC9" i="9"/>
  <c r="AC8" i="9"/>
  <c r="AC7" i="9"/>
  <c r="AC6" i="9"/>
  <c r="AC5" i="16"/>
  <c r="AC2" i="16"/>
  <c r="AC3" i="16"/>
  <c r="AC4" i="16"/>
  <c r="AC6" i="16"/>
  <c r="AC9" i="16"/>
  <c r="AC10" i="16" s="1"/>
  <c r="AC8" i="16"/>
  <c r="AC7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L17" i="7"/>
  <c r="N17" i="7"/>
  <c r="O17" i="7"/>
  <c r="M17" i="7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AC3" i="17"/>
  <c r="AC4" i="17"/>
  <c r="AC5" i="17"/>
  <c r="AC6" i="17"/>
  <c r="AC7" i="17"/>
  <c r="AC8" i="17"/>
  <c r="AC9" i="17"/>
  <c r="AC10" i="17"/>
  <c r="AC11" i="17"/>
  <c r="AC12" i="17"/>
  <c r="AC2" i="17"/>
  <c r="AB13" i="17"/>
  <c r="AB14" i="17"/>
  <c r="AB15" i="17"/>
  <c r="AB16" i="17"/>
  <c r="AC3" i="15"/>
  <c r="AC4" i="15"/>
  <c r="AC5" i="15"/>
  <c r="AC6" i="15"/>
  <c r="AC7" i="15"/>
  <c r="AC8" i="15"/>
  <c r="AC9" i="15"/>
  <c r="AC10" i="15"/>
  <c r="AC11" i="15"/>
  <c r="AC12" i="15"/>
  <c r="AC2" i="15"/>
  <c r="AA13" i="14"/>
  <c r="AC3" i="14"/>
  <c r="AC4" i="14"/>
  <c r="AC5" i="14"/>
  <c r="AC6" i="14"/>
  <c r="AC7" i="14"/>
  <c r="AC8" i="14"/>
  <c r="AC9" i="14"/>
  <c r="AC10" i="14"/>
  <c r="AC2" i="14"/>
  <c r="AC12" i="14" s="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C9" i="21"/>
  <c r="AC8" i="21"/>
  <c r="AC7" i="21"/>
  <c r="AC6" i="21"/>
  <c r="AC5" i="21"/>
  <c r="AC4" i="21"/>
  <c r="AC3" i="21"/>
  <c r="AC2" i="21"/>
  <c r="AC19" i="21" s="1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/>
  <c r="AC13" i="19"/>
  <c r="AC12" i="19"/>
  <c r="AC11" i="19"/>
  <c r="AC10" i="19"/>
  <c r="AC9" i="19"/>
  <c r="AC8" i="19"/>
  <c r="AC7" i="19"/>
  <c r="AC14" i="19" s="1"/>
  <c r="AC6" i="19"/>
  <c r="AC5" i="19"/>
  <c r="AC4" i="19"/>
  <c r="AC3" i="19"/>
  <c r="AC2" i="19"/>
  <c r="AC17" i="19" s="1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AC13" i="18"/>
  <c r="AC12" i="18"/>
  <c r="AC11" i="18"/>
  <c r="AC10" i="18"/>
  <c r="AC9" i="18"/>
  <c r="AC8" i="18"/>
  <c r="AC7" i="18"/>
  <c r="AC15" i="18" s="1"/>
  <c r="AC6" i="18"/>
  <c r="AC5" i="18"/>
  <c r="AC4" i="18"/>
  <c r="AC14" i="18" s="1"/>
  <c r="AC3" i="18"/>
  <c r="AC2" i="18"/>
  <c r="AC17" i="18" s="1"/>
  <c r="AC12" i="5"/>
  <c r="AC11" i="5"/>
  <c r="AC10" i="5"/>
  <c r="AC9" i="5"/>
  <c r="AC8" i="5"/>
  <c r="AC7" i="5"/>
  <c r="AC6" i="5"/>
  <c r="AC5" i="5"/>
  <c r="AC4" i="5"/>
  <c r="AC3" i="5"/>
  <c r="AC2" i="5"/>
  <c r="AC11" i="6"/>
  <c r="AC10" i="6"/>
  <c r="AC9" i="6"/>
  <c r="AC2" i="6"/>
  <c r="AC3" i="6"/>
  <c r="AC4" i="6"/>
  <c r="AC5" i="6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K17" i="7"/>
  <c r="J17" i="7"/>
  <c r="I17" i="7"/>
  <c r="H17" i="7"/>
  <c r="G17" i="7"/>
  <c r="F17" i="7"/>
  <c r="E17" i="7"/>
  <c r="D17" i="7"/>
  <c r="C17" i="7"/>
  <c r="B17" i="7"/>
  <c r="AC20" i="7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AC15" i="10"/>
  <c r="AC14" i="10"/>
  <c r="AC12" i="10"/>
  <c r="AC11" i="10"/>
  <c r="AC10" i="10"/>
  <c r="AC9" i="10"/>
  <c r="AC8" i="10"/>
  <c r="AC7" i="10"/>
  <c r="AC6" i="10"/>
  <c r="AC5" i="10"/>
  <c r="AC4" i="10"/>
  <c r="AC3" i="10"/>
  <c r="AC2" i="10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AC13" i="11"/>
  <c r="AC12" i="11"/>
  <c r="AC11" i="11"/>
  <c r="AC10" i="11"/>
  <c r="AC9" i="11"/>
  <c r="AC8" i="11"/>
  <c r="AC7" i="11"/>
  <c r="AC6" i="11"/>
  <c r="AC3" i="11"/>
  <c r="AC2" i="11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C15" i="12"/>
  <c r="AC14" i="12"/>
  <c r="AC11" i="12"/>
  <c r="AC10" i="12"/>
  <c r="AC9" i="12"/>
  <c r="AC8" i="12"/>
  <c r="AC7" i="12"/>
  <c r="AC6" i="12"/>
  <c r="AC5" i="12"/>
  <c r="AC4" i="12"/>
  <c r="AC7" i="13"/>
  <c r="AC3" i="13"/>
  <c r="AC2" i="13"/>
  <c r="AC4" i="13"/>
  <c r="AC5" i="13"/>
  <c r="AC6" i="13"/>
  <c r="AC8" i="13"/>
  <c r="AC11" i="13"/>
  <c r="AC12" i="13"/>
  <c r="AC13" i="13"/>
  <c r="AC14" i="13"/>
  <c r="AC15" i="13"/>
  <c r="AC16" i="13"/>
  <c r="AB12" i="14"/>
  <c r="AB11" i="14"/>
  <c r="AB13" i="14"/>
  <c r="AB14" i="14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I15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H15" i="17"/>
  <c r="G15" i="17"/>
  <c r="F15" i="17"/>
  <c r="E15" i="17"/>
  <c r="D15" i="17"/>
  <c r="C15" i="17"/>
  <c r="B15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K16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C16" i="15"/>
  <c r="D16" i="15"/>
  <c r="E16" i="15"/>
  <c r="F16" i="15"/>
  <c r="G16" i="15"/>
  <c r="H16" i="15"/>
  <c r="I16" i="15"/>
  <c r="J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B16" i="15"/>
  <c r="B15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B14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B13" i="15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B13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B12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G27" i="3"/>
  <c r="G28" i="3"/>
  <c r="G29" i="3"/>
  <c r="G30" i="3"/>
  <c r="G31" i="3"/>
  <c r="G32" i="3"/>
  <c r="G33" i="3"/>
  <c r="G34" i="3"/>
  <c r="G35" i="3"/>
  <c r="G36" i="3"/>
  <c r="G37" i="3"/>
  <c r="AC18" i="7"/>
  <c r="AC19" i="7"/>
  <c r="AC14" i="17"/>
  <c r="AC16" i="17"/>
  <c r="AC15" i="17"/>
  <c r="AC6" i="6"/>
  <c r="AC7" i="6"/>
  <c r="AC8" i="6"/>
  <c r="AC18" i="13" l="1"/>
  <c r="AC17" i="13"/>
  <c r="AC19" i="13"/>
  <c r="AC20" i="13"/>
  <c r="AC11" i="14"/>
  <c r="AC14" i="14"/>
  <c r="AC14" i="15"/>
  <c r="AC13" i="15"/>
  <c r="AC16" i="15"/>
  <c r="AC15" i="15"/>
  <c r="AC18" i="21"/>
  <c r="AC17" i="21"/>
  <c r="AC16" i="21"/>
  <c r="AC15" i="19"/>
  <c r="AC16" i="19"/>
  <c r="AC16" i="18"/>
  <c r="AC19" i="10"/>
  <c r="AC18" i="10"/>
  <c r="AC14" i="11"/>
  <c r="AC19" i="12"/>
  <c r="AC17" i="12"/>
  <c r="AC18" i="12"/>
  <c r="AC16" i="12"/>
  <c r="AC15" i="11"/>
  <c r="AC16" i="11"/>
  <c r="AC17" i="11"/>
  <c r="AC17" i="10"/>
  <c r="AC16" i="10"/>
</calcChain>
</file>

<file path=xl/sharedStrings.xml><?xml version="1.0" encoding="utf-8"?>
<sst xmlns="http://schemas.openxmlformats.org/spreadsheetml/2006/main" count="1652" uniqueCount="421">
  <si>
    <t>Line</t>
  </si>
  <si>
    <t>Dechorionated</t>
  </si>
  <si>
    <t>DMD imaged</t>
  </si>
  <si>
    <t>Wells</t>
  </si>
  <si>
    <t>Week</t>
  </si>
  <si>
    <t>Plate</t>
  </si>
  <si>
    <t>Comments from analysis</t>
  </si>
  <si>
    <t>Example image</t>
  </si>
  <si>
    <t>WT-c</t>
  </si>
  <si>
    <t>A-B</t>
  </si>
  <si>
    <t>no defects at all, control</t>
  </si>
  <si>
    <t>1_1_A9_4</t>
  </si>
  <si>
    <t>WT-35</t>
  </si>
  <si>
    <t>no defects at all</t>
  </si>
  <si>
    <t>1_2_A3_2</t>
  </si>
  <si>
    <t>How to fill in the matrix</t>
  </si>
  <si>
    <t>WT-37</t>
  </si>
  <si>
    <t>C3-D6</t>
  </si>
  <si>
    <t>slight defects (1) in the 11th, 12th or 13th somite</t>
  </si>
  <si>
    <t>2_1_C8_52</t>
  </si>
  <si>
    <t>Each row = an embryo</t>
  </si>
  <si>
    <t>WT-39</t>
  </si>
  <si>
    <t>G-H</t>
  </si>
  <si>
    <t>strong defects on several somites per embryo</t>
  </si>
  <si>
    <t>1_2_H7_11_V2</t>
  </si>
  <si>
    <t>Each column = a somite</t>
  </si>
  <si>
    <t>Her7-c</t>
  </si>
  <si>
    <t>C-D</t>
  </si>
  <si>
    <t>Her7-35</t>
  </si>
  <si>
    <t>Defect measurements</t>
  </si>
  <si>
    <t>Her7-39</t>
  </si>
  <si>
    <t>8+V2</t>
  </si>
  <si>
    <t>E-F</t>
  </si>
  <si>
    <t>no defect</t>
  </si>
  <si>
    <t>Loop-c</t>
  </si>
  <si>
    <t>E</t>
  </si>
  <si>
    <t>With loop, you get these 'holes' in the boundaries</t>
  </si>
  <si>
    <t>1_1_E4_27</t>
  </si>
  <si>
    <t>mild defect (&lt; 50%)</t>
  </si>
  <si>
    <t>Loop-35</t>
  </si>
  <si>
    <t>F</t>
  </si>
  <si>
    <t>Similar but seems to be slightly worse and later?</t>
  </si>
  <si>
    <t>1_1_F8_41</t>
  </si>
  <si>
    <t>strong defect (&gt; 50%)</t>
  </si>
  <si>
    <t>Loop-37</t>
  </si>
  <si>
    <t>B3-C2</t>
  </si>
  <si>
    <t>slightly more defects than 35, mainly severe at 6-8</t>
  </si>
  <si>
    <t>2_1_B12_75</t>
  </si>
  <si>
    <t>no segment boundary</t>
  </si>
  <si>
    <t>Loop-39</t>
  </si>
  <si>
    <t>wider timing (5-14) and far worse, with missing boundaries</t>
  </si>
  <si>
    <t>1_1_G11_55</t>
  </si>
  <si>
    <t>Her1-c</t>
  </si>
  <si>
    <t>A1-B2</t>
  </si>
  <si>
    <t>No defects found except for one embryo where the boundries were a little curved</t>
  </si>
  <si>
    <t>2_1_A2_9</t>
  </si>
  <si>
    <t>ID  = week_plate_well_DMD(_2 if in V2 images in week 1, else none)</t>
  </si>
  <si>
    <t>Her1-35</t>
  </si>
  <si>
    <t>D7-E10</t>
  </si>
  <si>
    <t>A few more embryos showed similar defects to the one on control. Similar timing (10)</t>
  </si>
  <si>
    <t>2_1_D7_47</t>
  </si>
  <si>
    <t xml:space="preserve">e.g. col. 51 in WT </t>
  </si>
  <si>
    <t>1_2_H1_6_2</t>
  </si>
  <si>
    <t>(2 at the end for the V2 images during week 1)</t>
  </si>
  <si>
    <t>Her1-37</t>
  </si>
  <si>
    <t>E11-G1</t>
  </si>
  <si>
    <t>Wider timing (8-16), more defects, more severe.</t>
  </si>
  <si>
    <t>2_1_F8_54</t>
  </si>
  <si>
    <t>Her1-39</t>
  </si>
  <si>
    <t>G2-H5</t>
  </si>
  <si>
    <t>All embryos present defects, later timing, more severe</t>
  </si>
  <si>
    <t>2_1_G7_50</t>
  </si>
  <si>
    <t>There is conditional formatting to be able to see trends and compute average/std dev already</t>
  </si>
  <si>
    <t>Notes</t>
  </si>
  <si>
    <t>Her1 mutants did not survive the first week, her7 did not survive the second week</t>
  </si>
  <si>
    <t>Who?</t>
  </si>
  <si>
    <t>Presentation</t>
  </si>
  <si>
    <t>Loop mutants did not express DMD in 50% of the embryos (hetero DMD line)</t>
  </si>
  <si>
    <t>Gresi +  Mathilde</t>
  </si>
  <si>
    <t>1. Problematic</t>
  </si>
  <si>
    <t>what did we want to investigate? How /what are the questions to answer?</t>
  </si>
  <si>
    <t xml:space="preserve">Incubating temperatures was 28.5°C until Wed evening (~6h) and then 32.5°C for about 16 hours to speed up the process during the night </t>
  </si>
  <si>
    <t>Gresi + Mathilde</t>
  </si>
  <si>
    <t>2. Intro to her and HS</t>
  </si>
  <si>
    <t>what are they, what do we know</t>
  </si>
  <si>
    <t>HS was done at somite 8 (W2) and somite ?? (W1)</t>
  </si>
  <si>
    <t>3. Methods</t>
  </si>
  <si>
    <t>what did we do, how, limitations (e.g. machine loosing 50% of our fish, fish dying, DMD hetero in her7)</t>
  </si>
  <si>
    <t>Claire + Matteo</t>
  </si>
  <si>
    <t>4. Global results</t>
  </si>
  <si>
    <t>barplot by condition w/average and std error --&gt; global idea of what we got</t>
  </si>
  <si>
    <t>5. Defect positions</t>
  </si>
  <si>
    <t>histogram : bin by position, average (+std error) or mode by condition --&gt; understand how severity and defect position differ</t>
  </si>
  <si>
    <t>6. Interpretation</t>
  </si>
  <si>
    <t>what does this mean? Link to the problematic --&gt; largest part</t>
  </si>
  <si>
    <t>7. What's next</t>
  </si>
  <si>
    <t>if we could, what would we want to investigate now?</t>
  </si>
  <si>
    <t>Condition</t>
  </si>
  <si>
    <t>Well</t>
  </si>
  <si>
    <t>Orientation (L/R, L if head is on the L)</t>
  </si>
  <si>
    <t>Brightfield</t>
  </si>
  <si>
    <t>DMD number</t>
  </si>
  <si>
    <t>DMD</t>
  </si>
  <si>
    <t>Features</t>
  </si>
  <si>
    <t xml:space="preserve">Defects </t>
  </si>
  <si>
    <t>Week2</t>
  </si>
  <si>
    <t>Comment</t>
  </si>
  <si>
    <t>Control</t>
  </si>
  <si>
    <t>1</t>
  </si>
  <si>
    <t>A6</t>
  </si>
  <si>
    <t>R</t>
  </si>
  <si>
    <t>yes</t>
  </si>
  <si>
    <t>G1_P1                       1</t>
  </si>
  <si>
    <t>no</t>
  </si>
  <si>
    <t>A7</t>
  </si>
  <si>
    <t>L</t>
  </si>
  <si>
    <t>A8</t>
  </si>
  <si>
    <t>A9</t>
  </si>
  <si>
    <t>A10</t>
  </si>
  <si>
    <t>A11</t>
  </si>
  <si>
    <t>A12</t>
  </si>
  <si>
    <t>B1</t>
  </si>
  <si>
    <t>system error</t>
  </si>
  <si>
    <t>B2</t>
  </si>
  <si>
    <t>B3</t>
  </si>
  <si>
    <t>B4</t>
  </si>
  <si>
    <t>35</t>
  </si>
  <si>
    <t>A2</t>
  </si>
  <si>
    <t>G1_P2                       1</t>
  </si>
  <si>
    <t>A3</t>
  </si>
  <si>
    <t>A4</t>
  </si>
  <si>
    <t>A5</t>
  </si>
  <si>
    <t>curved tail</t>
  </si>
  <si>
    <t>blurry</t>
  </si>
  <si>
    <t>37</t>
  </si>
  <si>
    <t>2</t>
  </si>
  <si>
    <t>C3</t>
  </si>
  <si>
    <t>C4</t>
  </si>
  <si>
    <t>C5</t>
  </si>
  <si>
    <t>missing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</si>
  <si>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</si>
  <si>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</si>
  <si>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</si>
  <si>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</si>
  <si>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</si>
  <si>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</si>
  <si>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</si>
  <si>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</si>
  <si>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</si>
  <si>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</si>
  <si>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</si>
  <si>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</si>
  <si>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</si>
  <si>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39</t>
  </si>
  <si>
    <t>G1</t>
  </si>
  <si>
    <t>can't distiguish</t>
  </si>
  <si>
    <t>very blurry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</si>
  <si>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</si>
  <si>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</si>
  <si>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</si>
  <si>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</si>
  <si>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</si>
  <si>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</si>
  <si>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</si>
  <si>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</si>
  <si>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</si>
  <si>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</si>
  <si>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</si>
  <si>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</si>
  <si>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G1_P2_V2                 6</t>
  </si>
  <si>
    <t>H3</t>
  </si>
  <si>
    <t>H4</t>
  </si>
  <si>
    <t>H5</t>
  </si>
  <si>
    <t>H6</t>
  </si>
  <si>
    <t>H7</t>
  </si>
  <si>
    <t>H8</t>
  </si>
  <si>
    <t>H9</t>
  </si>
  <si>
    <t>C1</t>
  </si>
  <si>
    <t>Yes</t>
  </si>
  <si>
    <t>C2</t>
  </si>
  <si>
    <t>No</t>
  </si>
  <si>
    <t>crossovers between somites close to head</t>
  </si>
  <si>
    <t>E1</t>
  </si>
  <si>
    <t>not sure (in the middle)</t>
  </si>
  <si>
    <t>E2</t>
  </si>
  <si>
    <t>some DMD visible between the somites</t>
  </si>
  <si>
    <t>E3</t>
  </si>
  <si>
    <t>E4</t>
  </si>
  <si>
    <t>one shorten somite</t>
  </si>
  <si>
    <t>E5</t>
  </si>
  <si>
    <t>E6</t>
  </si>
  <si>
    <t>E7</t>
  </si>
  <si>
    <t>E8</t>
  </si>
  <si>
    <t>E9</t>
  </si>
  <si>
    <t>E10</t>
  </si>
  <si>
    <t>E11</t>
  </si>
  <si>
    <t>E12</t>
  </si>
  <si>
    <t>F2</t>
  </si>
  <si>
    <t>V2</t>
  </si>
  <si>
    <t>F3</t>
  </si>
  <si>
    <t>F5</t>
  </si>
  <si>
    <t>F6</t>
  </si>
  <si>
    <t>F7</t>
  </si>
  <si>
    <t>A1</t>
  </si>
  <si>
    <t>D7</t>
  </si>
  <si>
    <t>D8</t>
  </si>
  <si>
    <t>D9</t>
  </si>
  <si>
    <t>D10</t>
  </si>
  <si>
    <t>D11</t>
  </si>
  <si>
    <t>D12</t>
  </si>
  <si>
    <t>F1</t>
  </si>
  <si>
    <t>F4</t>
  </si>
  <si>
    <t>F8</t>
  </si>
  <si>
    <t>F9</t>
  </si>
  <si>
    <t>F10</t>
  </si>
  <si>
    <t>F11</t>
  </si>
  <si>
    <t>F12</t>
  </si>
  <si>
    <t>H2</t>
  </si>
  <si>
    <t>from her7 theoretically..</t>
  </si>
  <si>
    <t>No DMD</t>
  </si>
  <si>
    <t>Not fluo enough</t>
  </si>
  <si>
    <t>X</t>
  </si>
  <si>
    <t>deformed</t>
  </si>
  <si>
    <t>really not sure about all of these</t>
  </si>
  <si>
    <t>B5</t>
  </si>
  <si>
    <t>B6</t>
  </si>
  <si>
    <t>B7</t>
  </si>
  <si>
    <t>B8</t>
  </si>
  <si>
    <t>brightfield out of frame</t>
  </si>
  <si>
    <t>B9</t>
  </si>
  <si>
    <t>B10</t>
  </si>
  <si>
    <t>B11</t>
  </si>
  <si>
    <t>?</t>
  </si>
  <si>
    <t>can't find the fish</t>
  </si>
  <si>
    <t>B12</t>
  </si>
  <si>
    <t>Total</t>
  </si>
  <si>
    <t>WT_c</t>
  </si>
  <si>
    <t>Average</t>
  </si>
  <si>
    <t>WT_35</t>
  </si>
  <si>
    <t>WT_37</t>
  </si>
  <si>
    <t>WT_39</t>
  </si>
  <si>
    <t>her1_c</t>
  </si>
  <si>
    <t>her1_35</t>
  </si>
  <si>
    <t>her1_37</t>
  </si>
  <si>
    <t>her1_39</t>
  </si>
  <si>
    <t>loop_c</t>
  </si>
  <si>
    <t>loop_35</t>
  </si>
  <si>
    <t>loop_37</t>
  </si>
  <si>
    <t>loop_39</t>
  </si>
  <si>
    <t>her7_c</t>
  </si>
  <si>
    <t>her7_35</t>
  </si>
  <si>
    <t>her7_39</t>
  </si>
  <si>
    <t>ID</t>
  </si>
  <si>
    <t>total</t>
  </si>
  <si>
    <t>1_1_A6_1</t>
  </si>
  <si>
    <t>1_1_A7_2</t>
  </si>
  <si>
    <t>1_1_A8_3</t>
  </si>
  <si>
    <t>1_1_A10_5</t>
  </si>
  <si>
    <t>1_1_A11_6</t>
  </si>
  <si>
    <t>1_1_A12_7</t>
  </si>
  <si>
    <t>1_1_B1_8</t>
  </si>
  <si>
    <t>1_1_B2_9</t>
  </si>
  <si>
    <t>1_1_B3_10</t>
  </si>
  <si>
    <t>1_1_B4_11</t>
  </si>
  <si>
    <t>Median</t>
  </si>
  <si>
    <t>Mode</t>
  </si>
  <si>
    <t>Std dev</t>
  </si>
  <si>
    <t>1_2_A2_1</t>
  </si>
  <si>
    <t>1_2_A4_3</t>
  </si>
  <si>
    <t>1_2_A5_4</t>
  </si>
  <si>
    <t>1_2_A7_5</t>
  </si>
  <si>
    <t>1_2_A8_6</t>
  </si>
  <si>
    <t>1_2_A9_7</t>
  </si>
  <si>
    <t>1_2_A10_8</t>
  </si>
  <si>
    <t>1_2_A11_9</t>
  </si>
  <si>
    <t>1_2_A12_10</t>
  </si>
  <si>
    <t>2_1_C3_19</t>
  </si>
  <si>
    <t>2_1_C4_27</t>
  </si>
  <si>
    <t>2_1_C6_42</t>
  </si>
  <si>
    <t>2_1_C7_46</t>
  </si>
  <si>
    <t>2_1_C9_58</t>
  </si>
  <si>
    <t>2_1_C10_64</t>
  </si>
  <si>
    <t>2_1_C11_69</t>
  </si>
  <si>
    <t>2_1_C12_76</t>
  </si>
  <si>
    <t>2_1_D1_4</t>
  </si>
  <si>
    <t>2_1_D2_12</t>
  </si>
  <si>
    <t>2_1_D3_20</t>
  </si>
  <si>
    <t>2_1_D4_28</t>
  </si>
  <si>
    <t>2_1_D5_35</t>
  </si>
  <si>
    <t>2_1_D6_43</t>
  </si>
  <si>
    <t>1_2_H1_6_V2</t>
  </si>
  <si>
    <t>1_2_H3_7_V2</t>
  </si>
  <si>
    <t>1_2_H4_8_V2</t>
  </si>
  <si>
    <t>1_2_H5_9_V2</t>
  </si>
  <si>
    <t>1_2_H6_10_V2</t>
  </si>
  <si>
    <t>1_2_H8_12_V2</t>
  </si>
  <si>
    <t>1_2_H9_13_V2</t>
  </si>
  <si>
    <t>2_1_A1_1</t>
  </si>
  <si>
    <t>2_1_A3_17</t>
  </si>
  <si>
    <t>2_1_A4_25</t>
  </si>
  <si>
    <t>2_1_A5_33</t>
  </si>
  <si>
    <t>2_1_A6_40</t>
  </si>
  <si>
    <t>2_1_A7_45</t>
  </si>
  <si>
    <t>2_1_A8_51</t>
  </si>
  <si>
    <t>2_1_A9_56</t>
  </si>
  <si>
    <t>2_1_A10_62</t>
  </si>
  <si>
    <t>2_1_A11_68</t>
  </si>
  <si>
    <t>2_1_A12_74</t>
  </si>
  <si>
    <t>2_1_B1_2</t>
  </si>
  <si>
    <t>2_1_B2_10</t>
  </si>
  <si>
    <t>2_1_D10_65</t>
  </si>
  <si>
    <t>2_1_D11_70</t>
  </si>
  <si>
    <t>2_1_D12_77</t>
  </si>
  <si>
    <t>2_1_E2_13</t>
  </si>
  <si>
    <t>2_1_E3_21</t>
  </si>
  <si>
    <t>2_1_E4_29</t>
  </si>
  <si>
    <t>2_1_E5_36</t>
  </si>
  <si>
    <t>2_1_E6_44</t>
  </si>
  <si>
    <t>2_1_E7_48</t>
  </si>
  <si>
    <t>2_1_E8_53</t>
  </si>
  <si>
    <t>2_1_E9_59</t>
  </si>
  <si>
    <t>2_1_E11_71</t>
  </si>
  <si>
    <t>2_1_E12_78</t>
  </si>
  <si>
    <t>2_1_F1_6</t>
  </si>
  <si>
    <t>2_1_F2_14</t>
  </si>
  <si>
    <t>2_1_F3_22</t>
  </si>
  <si>
    <t>2_1_F4_30</t>
  </si>
  <si>
    <t>2_1_F5_37</t>
  </si>
  <si>
    <t>2_1_F7_49</t>
  </si>
  <si>
    <t>2_1_F9_60</t>
  </si>
  <si>
    <t>2_1_F10_66</t>
  </si>
  <si>
    <t>2_1_F11_72</t>
  </si>
  <si>
    <t>2_1_F12_79</t>
  </si>
  <si>
    <t>2_1_G1_7</t>
  </si>
  <si>
    <t>2_1_G2_15</t>
  </si>
  <si>
    <t>2_1_G3_23</t>
  </si>
  <si>
    <t>2_1_G4_31</t>
  </si>
  <si>
    <t>2_1_G5_38</t>
  </si>
  <si>
    <t>2_1_G8_55</t>
  </si>
  <si>
    <t>2_1_G9_61</t>
  </si>
  <si>
    <t>2_1_G10_67</t>
  </si>
  <si>
    <t>2_1_G11_73</t>
  </si>
  <si>
    <t>2_1_G12_80</t>
  </si>
  <si>
    <t>2_1_H1_8</t>
  </si>
  <si>
    <t>2_1_H2_16</t>
  </si>
  <si>
    <t>2_1_H3_24</t>
  </si>
  <si>
    <t>2_1_H4_32</t>
  </si>
  <si>
    <t>2_1_H5_39</t>
  </si>
  <si>
    <t>1_1_E1_24</t>
  </si>
  <si>
    <t>1_1_E2_25</t>
  </si>
  <si>
    <t>1_1_E3_26</t>
  </si>
  <si>
    <t>1_1_E6_29</t>
  </si>
  <si>
    <t>1_1_E8_30</t>
  </si>
  <si>
    <t>1_1_E9_31</t>
  </si>
  <si>
    <t>1_1_E10_32</t>
  </si>
  <si>
    <t>1_1_E12_33</t>
  </si>
  <si>
    <t>1_1_F1_34</t>
  </si>
  <si>
    <t>1_1_F2_35</t>
  </si>
  <si>
    <t>1_1_F3_36</t>
  </si>
  <si>
    <t>1_1_F4_37</t>
  </si>
  <si>
    <t>1_1_F5_38</t>
  </si>
  <si>
    <t>1_1_F6_39</t>
  </si>
  <si>
    <t>1_1_F7_40</t>
  </si>
  <si>
    <t>1_1_F9_42</t>
  </si>
  <si>
    <t>1_1_F11_44</t>
  </si>
  <si>
    <t>1_1_F12_45</t>
  </si>
  <si>
    <t>2_1_B3_18</t>
  </si>
  <si>
    <t>2_1_B4_26</t>
  </si>
  <si>
    <t>2_1_B6_41</t>
  </si>
  <si>
    <t>2_1_B9_57</t>
  </si>
  <si>
    <t>2_1_B10_63</t>
  </si>
  <si>
    <t>2_1_C1_3</t>
  </si>
  <si>
    <t>2_1_C2_11</t>
  </si>
  <si>
    <t>1_1_G1_46</t>
  </si>
  <si>
    <t>1_1_G2_47</t>
  </si>
  <si>
    <t>1_1_G4_48</t>
  </si>
  <si>
    <t>1_1_G5_49</t>
  </si>
  <si>
    <t>1_1_G6_50</t>
  </si>
  <si>
    <t>1_1_G7_51</t>
  </si>
  <si>
    <t>1_1_G8_52</t>
  </si>
  <si>
    <t>1_1_G9_53</t>
  </si>
  <si>
    <t>1_1_G10_54</t>
  </si>
  <si>
    <t>1_1_G12_56</t>
  </si>
  <si>
    <t>1_1_C1_12</t>
  </si>
  <si>
    <t>1_1_C2_13</t>
  </si>
  <si>
    <t>1_1_C3_14</t>
  </si>
  <si>
    <t>1_1_C4_15</t>
  </si>
  <si>
    <t>1_1_C5_16</t>
  </si>
  <si>
    <t>1_1_C6_17</t>
  </si>
  <si>
    <t>1_1_C7_18</t>
  </si>
  <si>
    <t>1_1_C8_19</t>
  </si>
  <si>
    <t>1_1_C9_20</t>
  </si>
  <si>
    <t>1_1_C10_21</t>
  </si>
  <si>
    <t>1_1_C11_22</t>
  </si>
  <si>
    <t>1_1_C12_23</t>
  </si>
  <si>
    <t>1_2_C1_11</t>
  </si>
  <si>
    <t>1_2_C2_12</t>
  </si>
  <si>
    <t>1_2_C3_13</t>
  </si>
  <si>
    <t>1_2_C4_14</t>
  </si>
  <si>
    <t>1_2_C5_15</t>
  </si>
  <si>
    <t>1_2_C6_16</t>
  </si>
  <si>
    <t>1_2_C7_17</t>
  </si>
  <si>
    <t>1_2_C8_18</t>
  </si>
  <si>
    <t>1_2_C9_19</t>
  </si>
  <si>
    <t>1_2_C10_20</t>
  </si>
  <si>
    <t>1_2_C11_21</t>
  </si>
  <si>
    <t>1_2_C12_22</t>
  </si>
  <si>
    <t>1_2_E1_23</t>
  </si>
  <si>
    <t>1_2_E2_24</t>
  </si>
  <si>
    <t>1_2_E3_25</t>
  </si>
  <si>
    <t>1_2_E4_26</t>
  </si>
  <si>
    <t>1_2_E6_28</t>
  </si>
  <si>
    <t>1_2_E7_29</t>
  </si>
  <si>
    <t>1_2_E8_30</t>
  </si>
  <si>
    <t>1_2_E9_31</t>
  </si>
  <si>
    <t>1_2_F2_1_2</t>
  </si>
  <si>
    <t>1_2_F3_2_2</t>
  </si>
  <si>
    <t>1_2_F4_3_2</t>
  </si>
  <si>
    <t>1_2_F5_4_2</t>
  </si>
  <si>
    <t>1_2_F6_5_2</t>
  </si>
  <si>
    <t>1_2_F7_6_2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</si>
</sst>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rgb="FF242424"/>
      <name val="Aptos Narrow"/>
      <charset val="1"/>
    </font>
    <font>
      <sz val="11"/>
      <color rgb="FF000000"/>
      <name val="Aptos Narrow"/>
      <charset val="1"/>
    </font>
    <font>
      <b/>
      <sz val="11"/>
      <color rgb="FF242424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1" xfId="0" applyFont="1" applyBorder="1"/>
    <xf numFmtId="49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5" xfId="0" applyFont="1" applyBorder="1"/>
    <xf numFmtId="0" fontId="0" fillId="0" borderId="6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/>
    <xf numFmtId="0" fontId="4" fillId="2" borderId="0" xfId="0" applyFont="1" applyFill="1" applyAlignment="1">
      <alignment wrapText="1"/>
    </xf>
    <xf numFmtId="0" fontId="6" fillId="0" borderId="0" xfId="0" applyFont="1"/>
    <xf numFmtId="0" fontId="1" fillId="3" borderId="0" xfId="0" applyFont="1" applyFill="1"/>
    <xf numFmtId="0" fontId="1" fillId="0" borderId="8" xfId="0" applyFont="1" applyBorder="1" applyAlignment="1">
      <alignment wrapText="1"/>
    </xf>
    <xf numFmtId="0" fontId="1" fillId="2" borderId="12" xfId="0" applyFont="1" applyFill="1" applyBorder="1"/>
    <xf numFmtId="0" fontId="0" fillId="0" borderId="13" xfId="0" applyBorder="1"/>
    <xf numFmtId="0" fontId="7" fillId="4" borderId="0" xfId="0" applyFont="1" applyFill="1"/>
    <xf numFmtId="0" fontId="1" fillId="4" borderId="0" xfId="0" applyFont="1" applyFill="1"/>
    <xf numFmtId="0" fontId="8" fillId="0" borderId="0" xfId="0" applyFont="1"/>
    <xf numFmtId="0" fontId="0" fillId="0" borderId="0" xfId="0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9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9" fillId="0" borderId="1" xfId="0" applyFont="1" applyBorder="1"/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</cellXfs>
  <cellStyles count="1">
    <cellStyle name="Normal" xfId="0" builtinId="0"/>
  </cellStyles>
  <dxfs count="20">
    <dxf>
      <numFmt numFmtId="30" formatCode="@"/>
    </dxf>
    <dxf>
      <numFmt numFmtId="30" formatCode="@"/>
    </dxf>
    <dxf>
      <alignment horizontal="left"/>
    </dxf>
    <dxf>
      <numFmt numFmtId="30" formatCode="@"/>
    </dxf>
    <dxf>
      <numFmt numFmtId="30" formatCode="@"/>
    </dxf>
    <dxf>
      <alignment horizontal="left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EAEF0E-2B08-46BD-BD57-BA20892FA249}" name="Table2" displayName="Table2" ref="A1:H16" totalsRowShown="0" headerRowDxfId="19" dataDxfId="18">
  <autoFilter ref="A1:H16" xr:uid="{89EAEF0E-2B08-46BD-BD57-BA20892FA249}"/>
  <tableColumns count="8">
    <tableColumn id="1" xr3:uid="{645FCEA9-1F34-4E70-AE24-94D44547740B}" name="Line" dataDxfId="17"/>
    <tableColumn id="2" xr3:uid="{D47993DF-4D8B-40BE-AAD9-BB61D88129B9}" name="Dechorionated" dataDxfId="16"/>
    <tableColumn id="3" xr3:uid="{8EF77238-7350-47F5-963D-3823CB77E9F8}" name="DMD imaged" dataDxfId="15"/>
    <tableColumn id="4" xr3:uid="{168FF278-7D2B-4471-A6CB-06AEA02E8098}" name="Wells" dataDxfId="14"/>
    <tableColumn id="5" xr3:uid="{0D4DD429-57A8-4EF6-B271-60CB2B51D5AA}" name="Week" dataDxfId="13"/>
    <tableColumn id="6" xr3:uid="{41C146B7-3378-46E0-AA1F-208E0047A889}" name="Plate" dataDxfId="12"/>
    <tableColumn id="7" xr3:uid="{2F84D29E-87B2-48A0-8BB0-769BF8BABF1D}" name="Comments from analysis" dataDxfId="11"/>
    <tableColumn id="8" xr3:uid="{1744197B-6A1A-4610-BE3F-E1C7864CB0BC}" name="Example imag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999409-E5F6-4C7A-B8D1-DC87F5762640}" name="Table146" displayName="Table146" ref="A1:L58" totalsRowShown="0">
  <autoFilter ref="A1:L58" xr:uid="{52999409-E5F6-4C7A-B8D1-DC87F5762640}"/>
  <tableColumns count="12">
    <tableColumn id="1" xr3:uid="{D8361A3A-2316-4B81-AFE9-C83E8F76D3F3}" name="Condition" dataDxfId="9"/>
    <tableColumn id="12" xr3:uid="{EB18B40D-91E9-425A-8E3F-27D22A6F2EA3}" name="Week" dataDxfId="8"/>
    <tableColumn id="2" xr3:uid="{82CEECB5-8572-4861-82AA-2F2CFBD4FA46}" name="Well"/>
    <tableColumn id="3" xr3:uid="{4B90C2CC-8FC3-41FF-B982-D28B9C049233}" name="Plate"/>
    <tableColumn id="10" xr3:uid="{1F84729B-765F-4EB3-8189-E36E3DD34295}" name="Orientation (L/R, L if head is on the L)"/>
    <tableColumn id="4" xr3:uid="{4FEA0706-DDBA-4E18-A948-1EDBBD63D712}" name="Brightfield"/>
    <tableColumn id="11" xr3:uid="{E206F144-5363-4ACD-A0C3-6018195BD06D}" name="DMD number"/>
    <tableColumn id="7" xr3:uid="{189B040D-980B-4175-8211-D24F05840DD7}" name="DMD"/>
    <tableColumn id="5" xr3:uid="{779F0E3B-2BB0-4152-BCC5-7980D7D5A588}" name="Features"/>
    <tableColumn id="8" xr3:uid="{99D62446-C28C-4191-B61A-987129EDCB2B}" name="Defects "/>
    <tableColumn id="9" xr3:uid="{CD20DE3C-2A46-4F26-BEB0-5EEC08F137F2}" name="Week2">
      <calculatedColumnFormula>VALUE(Table146[[#This Row],[Week]])</calculatedColumnFormula>
    </tableColumn>
    <tableColumn id="6" xr3:uid="{3B285C98-9E4B-4978-B262-C056089CAC03}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428935-880C-45C8-8E9F-55E430FE689A}" name="Table145" displayName="Table145" ref="A1:L42" totalsRowShown="0">
  <autoFilter ref="A1:L42" xr:uid="{F4428935-880C-45C8-8E9F-55E430FE689A}"/>
  <tableColumns count="12">
    <tableColumn id="1" xr3:uid="{294AA5F8-A795-44FE-9E7C-267F844B577E}" name="Condition" dataDxfId="7"/>
    <tableColumn id="12" xr3:uid="{022D0942-F0D4-48DB-974B-1770096F6EE0}" name="Week" dataDxfId="6"/>
    <tableColumn id="2" xr3:uid="{5E8929FF-AB29-4D3A-80F1-82CD0C4B8173}" name="Well"/>
    <tableColumn id="3" xr3:uid="{C7A96C59-49E0-40F6-A2C9-FEB0C142FA35}" name="Plate" dataDxfId="5"/>
    <tableColumn id="10" xr3:uid="{AE58EFE5-7CBC-4668-A6C6-C5431A07E97C}" name="Orientation (L/R, L if head is on the L)"/>
    <tableColumn id="4" xr3:uid="{DBB780F1-0BD4-4FC1-A585-136197CF9310}" name="Brightfield"/>
    <tableColumn id="11" xr3:uid="{DBFA2AC8-7E62-41B8-921C-777BE31802B2}" name="DMD number"/>
    <tableColumn id="7" xr3:uid="{0DF22F23-FA45-48AF-B096-B567932B5D11}" name="DMD"/>
    <tableColumn id="5" xr3:uid="{84611318-3BA3-4B0B-9C7B-99238EDAD3A6}" name="Features"/>
    <tableColumn id="8" xr3:uid="{D228C024-8AF0-41D1-A3D8-520B076EA0BB}" name="Defects "/>
    <tableColumn id="9" xr3:uid="{9DD7F246-3BD7-4631-A1F3-94F8A765CE63}" name="Week2"/>
    <tableColumn id="6" xr3:uid="{13A1A172-FFCC-42A9-8733-EF40B58982B0}" name="Com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35752C-DDB7-4117-AA15-15E8445BC144}" name="Table1452" displayName="Table1452" ref="A1:L62" totalsRowShown="0">
  <autoFilter ref="A1:L62" xr:uid="{F4428935-880C-45C8-8E9F-55E430FE689A}"/>
  <tableColumns count="12">
    <tableColumn id="1" xr3:uid="{9D8632B1-F817-42E4-8FF5-41FFC8AB989F}" name="Condition" dataDxfId="4"/>
    <tableColumn id="12" xr3:uid="{6BA07DD6-ABE9-4D1D-9702-4EAB66CE0164}" name="Week" dataDxfId="3"/>
    <tableColumn id="2" xr3:uid="{7AF60128-921C-4EAC-B80B-94A6639234EA}" name="Well"/>
    <tableColumn id="3" xr3:uid="{AC7BACD6-3293-420A-9769-4F52610A0F9D}" name="Plate" dataDxfId="2"/>
    <tableColumn id="10" xr3:uid="{137F9F7B-74E4-4A6B-AD23-3B0EF7D74125}" name="Orientation (L/R, L if head is on the L)"/>
    <tableColumn id="4" xr3:uid="{83179A2D-223B-4373-B30B-2A12D8D7BDEB}" name="Brightfield"/>
    <tableColumn id="11" xr3:uid="{79C8D290-9A6A-4162-B17E-30244CA8E87B}" name="DMD number"/>
    <tableColumn id="7" xr3:uid="{A452F102-DEB5-41E2-BDCE-284D656D77E8}" name="DMD"/>
    <tableColumn id="5" xr3:uid="{8C5D8F27-42CC-45C6-B5AB-82230620359F}" name="Features"/>
    <tableColumn id="8" xr3:uid="{658A2FA7-E0B6-4B33-974E-F1328E40F8CB}" name="Defects "/>
    <tableColumn id="9" xr3:uid="{E47E0E76-1379-4075-93C8-ED2598963543}" name="Week2"/>
    <tableColumn id="6" xr3:uid="{9BC5EBE3-5149-449B-A40D-FC894F8684A0}" name="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18BB27-E101-48A6-9F7F-A82EFC50A992}" name="Table14" displayName="Table14" ref="A1:K49" totalsRowShown="0">
  <autoFilter ref="A1:K49" xr:uid="{3818BB27-E101-48A6-9F7F-A82EFC50A992}"/>
  <tableColumns count="11">
    <tableColumn id="1" xr3:uid="{31287380-C7EA-4726-A7A8-53561B8A4D79}" name="Condition" dataDxfId="1"/>
    <tableColumn id="12" xr3:uid="{8B627FC6-27C9-4F2E-A1AA-903B8311FB17}" name="Week" dataDxfId="0"/>
    <tableColumn id="2" xr3:uid="{89C0FE55-5E55-4187-869F-46B14FD2B087}" name="Well"/>
    <tableColumn id="3" xr3:uid="{E0F83E81-E764-4325-9ADB-7C93F873CE9A}" name="Plate"/>
    <tableColumn id="10" xr3:uid="{5E945BA7-AB7F-4AAE-AC3B-F31973CA5499}" name="Orientation (L/R, L if head is on the L)"/>
    <tableColumn id="4" xr3:uid="{012775A9-5C4B-4F6B-98AD-2D56884C5816}" name="Brightfield"/>
    <tableColumn id="11" xr3:uid="{B416256B-72FB-4BDA-BBBD-C0AD33096F79}" name="DMD number"/>
    <tableColumn id="7" xr3:uid="{2ED515B2-5BD1-4577-8821-B2645BC5B91F}" name="DMD"/>
    <tableColumn id="5" xr3:uid="{7880958D-F047-486A-8051-7BBEFB6C53CA}" name="Features"/>
    <tableColumn id="8" xr3:uid="{BDE3BB6A-9192-4DA0-8436-0C5DD0ADF486}" name="Defects "/>
    <tableColumn id="6" xr3:uid="{16BA5AD8-D748-48D3-845F-9CA364029E73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F1D9-DF29-0043-BB87-8CC8FD234706}">
  <dimension ref="A1:Q26"/>
  <sheetViews>
    <sheetView topLeftCell="E1" zoomScale="81" workbookViewId="0">
      <selection activeCell="H20" sqref="H20"/>
    </sheetView>
  </sheetViews>
  <sheetFormatPr defaultRowHeight="14.4" x14ac:dyDescent="0.3"/>
  <cols>
    <col min="1" max="1" width="10.3984375" customWidth="1"/>
    <col min="2" max="3" width="15.09765625" customWidth="1"/>
    <col min="7" max="7" width="45.69921875" customWidth="1"/>
    <col min="8" max="8" width="15.3984375" customWidth="1"/>
    <col min="10" max="10" width="16.09765625" customWidth="1"/>
    <col min="11" max="11" width="14.3984375" customWidth="1"/>
    <col min="12" max="12" width="18.3984375" customWidth="1"/>
  </cols>
  <sheetData>
    <row r="1" spans="1:17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17" ht="14.95" thickBot="1" x14ac:dyDescent="0.35">
      <c r="A2" s="5" t="s">
        <v>8</v>
      </c>
      <c r="B2" s="27">
        <v>24</v>
      </c>
      <c r="C2" s="27">
        <v>10</v>
      </c>
      <c r="D2" s="27" t="s">
        <v>9</v>
      </c>
      <c r="E2" s="27">
        <v>1</v>
      </c>
      <c r="F2" s="27">
        <v>1</v>
      </c>
      <c r="G2" s="27" t="s">
        <v>10</v>
      </c>
      <c r="H2" s="27" t="s">
        <v>11</v>
      </c>
      <c r="I2" s="27"/>
    </row>
    <row r="3" spans="1:17" x14ac:dyDescent="0.3">
      <c r="A3" s="5" t="s">
        <v>12</v>
      </c>
      <c r="B3" s="27">
        <v>19</v>
      </c>
      <c r="C3" s="27">
        <v>10</v>
      </c>
      <c r="D3" s="27" t="s">
        <v>9</v>
      </c>
      <c r="E3" s="27">
        <v>1</v>
      </c>
      <c r="F3" s="27">
        <v>2</v>
      </c>
      <c r="G3" s="27" t="s">
        <v>13</v>
      </c>
      <c r="H3" s="27" t="s">
        <v>14</v>
      </c>
      <c r="I3" s="27"/>
      <c r="K3" s="48" t="s">
        <v>15</v>
      </c>
      <c r="L3" s="49"/>
      <c r="M3" s="49"/>
      <c r="N3" s="49"/>
      <c r="O3" s="49"/>
      <c r="P3" s="49"/>
      <c r="Q3" s="50"/>
    </row>
    <row r="4" spans="1:17" x14ac:dyDescent="0.3">
      <c r="A4" s="5" t="s">
        <v>16</v>
      </c>
      <c r="B4" s="27">
        <v>15</v>
      </c>
      <c r="C4" s="27">
        <v>15</v>
      </c>
      <c r="D4" s="27" t="s">
        <v>17</v>
      </c>
      <c r="E4" s="27">
        <v>2</v>
      </c>
      <c r="F4" s="27">
        <v>1</v>
      </c>
      <c r="G4" s="27" t="s">
        <v>18</v>
      </c>
      <c r="H4" s="27" t="s">
        <v>19</v>
      </c>
      <c r="I4" s="27"/>
      <c r="K4" s="10" t="s">
        <v>20</v>
      </c>
      <c r="Q4" s="11"/>
    </row>
    <row r="5" spans="1:17" x14ac:dyDescent="0.3">
      <c r="A5" s="5" t="s">
        <v>21</v>
      </c>
      <c r="B5" s="27">
        <v>21</v>
      </c>
      <c r="C5" s="27">
        <v>8</v>
      </c>
      <c r="D5" s="27" t="s">
        <v>22</v>
      </c>
      <c r="E5" s="27">
        <v>1</v>
      </c>
      <c r="F5" s="27">
        <v>2</v>
      </c>
      <c r="G5" s="27" t="s">
        <v>23</v>
      </c>
      <c r="H5" s="27" t="s">
        <v>24</v>
      </c>
      <c r="I5" s="27"/>
      <c r="K5" s="10" t="s">
        <v>25</v>
      </c>
      <c r="Q5" s="11"/>
    </row>
    <row r="6" spans="1:17" x14ac:dyDescent="0.3">
      <c r="A6" s="5" t="s">
        <v>26</v>
      </c>
      <c r="B6" s="27">
        <v>24</v>
      </c>
      <c r="C6" s="27">
        <v>11</v>
      </c>
      <c r="D6" s="27" t="s">
        <v>27</v>
      </c>
      <c r="E6" s="27">
        <v>1</v>
      </c>
      <c r="F6" s="27">
        <v>1</v>
      </c>
      <c r="G6" s="27"/>
      <c r="H6" s="27"/>
      <c r="I6" s="27"/>
      <c r="K6" s="12"/>
      <c r="Q6" s="11"/>
    </row>
    <row r="7" spans="1:17" x14ac:dyDescent="0.3">
      <c r="A7" s="5" t="s">
        <v>28</v>
      </c>
      <c r="B7" s="27">
        <v>20</v>
      </c>
      <c r="C7" s="27">
        <v>12</v>
      </c>
      <c r="D7" s="27" t="s">
        <v>27</v>
      </c>
      <c r="E7" s="27">
        <v>1</v>
      </c>
      <c r="F7" s="27">
        <v>2</v>
      </c>
      <c r="G7" s="27"/>
      <c r="H7" s="27"/>
      <c r="I7" s="27"/>
      <c r="K7" s="10" t="s">
        <v>29</v>
      </c>
      <c r="Q7" s="11"/>
    </row>
    <row r="8" spans="1:17" x14ac:dyDescent="0.3">
      <c r="A8" s="5" t="s">
        <v>30</v>
      </c>
      <c r="B8" s="27">
        <v>20</v>
      </c>
      <c r="C8" s="18" t="s">
        <v>31</v>
      </c>
      <c r="D8" s="27" t="s">
        <v>32</v>
      </c>
      <c r="E8" s="27">
        <v>1</v>
      </c>
      <c r="F8" s="27">
        <v>2</v>
      </c>
      <c r="G8" s="27"/>
      <c r="H8" s="27"/>
      <c r="I8" s="27"/>
      <c r="K8" s="12">
        <v>0</v>
      </c>
      <c r="L8" t="s">
        <v>33</v>
      </c>
      <c r="Q8" s="11"/>
    </row>
    <row r="9" spans="1:17" x14ac:dyDescent="0.3">
      <c r="A9" s="5" t="s">
        <v>34</v>
      </c>
      <c r="B9" s="27">
        <v>12</v>
      </c>
      <c r="C9" s="27">
        <v>9</v>
      </c>
      <c r="D9" s="27" t="s">
        <v>35</v>
      </c>
      <c r="E9" s="27">
        <v>1</v>
      </c>
      <c r="F9" s="27">
        <v>1</v>
      </c>
      <c r="G9" s="27" t="s">
        <v>36</v>
      </c>
      <c r="H9" s="27" t="s">
        <v>37</v>
      </c>
      <c r="I9" s="27"/>
      <c r="K9" s="12">
        <v>1</v>
      </c>
      <c r="L9" t="s">
        <v>38</v>
      </c>
      <c r="Q9" s="11"/>
    </row>
    <row r="10" spans="1:17" x14ac:dyDescent="0.3">
      <c r="A10" s="5" t="s">
        <v>39</v>
      </c>
      <c r="B10" s="27">
        <v>12</v>
      </c>
      <c r="C10" s="27">
        <v>11</v>
      </c>
      <c r="D10" s="27" t="s">
        <v>40</v>
      </c>
      <c r="E10" s="27">
        <v>1</v>
      </c>
      <c r="F10" s="27">
        <v>1</v>
      </c>
      <c r="G10" s="27" t="s">
        <v>41</v>
      </c>
      <c r="H10" s="27" t="s">
        <v>42</v>
      </c>
      <c r="I10" s="27"/>
      <c r="K10" s="12">
        <v>2</v>
      </c>
      <c r="L10" t="s">
        <v>43</v>
      </c>
      <c r="Q10" s="11"/>
    </row>
    <row r="11" spans="1:17" x14ac:dyDescent="0.3">
      <c r="A11" s="5" t="s">
        <v>44</v>
      </c>
      <c r="B11" s="27">
        <v>12</v>
      </c>
      <c r="C11" s="27">
        <v>8</v>
      </c>
      <c r="D11" s="27" t="s">
        <v>45</v>
      </c>
      <c r="E11" s="27">
        <v>2</v>
      </c>
      <c r="F11" s="27">
        <v>1</v>
      </c>
      <c r="G11" s="27" t="s">
        <v>46</v>
      </c>
      <c r="H11" t="s">
        <v>47</v>
      </c>
      <c r="I11" s="27"/>
      <c r="K11" s="12">
        <v>3</v>
      </c>
      <c r="L11" t="s">
        <v>48</v>
      </c>
      <c r="Q11" s="11"/>
    </row>
    <row r="12" spans="1:17" ht="28.8" x14ac:dyDescent="0.3">
      <c r="A12" s="5" t="s">
        <v>49</v>
      </c>
      <c r="B12" s="27">
        <v>12</v>
      </c>
      <c r="C12" s="27">
        <v>11</v>
      </c>
      <c r="D12" s="27" t="s">
        <v>22</v>
      </c>
      <c r="E12" s="27">
        <v>1</v>
      </c>
      <c r="F12" s="27">
        <v>1</v>
      </c>
      <c r="G12" s="27" t="s">
        <v>50</v>
      </c>
      <c r="H12" t="s">
        <v>51</v>
      </c>
      <c r="I12" s="27"/>
      <c r="K12" s="12"/>
      <c r="Q12" s="11"/>
    </row>
    <row r="13" spans="1:17" ht="28.8" x14ac:dyDescent="0.3">
      <c r="A13" s="5" t="s">
        <v>52</v>
      </c>
      <c r="B13" s="27">
        <v>15</v>
      </c>
      <c r="C13" s="27">
        <v>14</v>
      </c>
      <c r="D13" s="27" t="s">
        <v>53</v>
      </c>
      <c r="E13" s="27">
        <v>2</v>
      </c>
      <c r="F13" s="27">
        <v>1</v>
      </c>
      <c r="G13" s="27" t="s">
        <v>54</v>
      </c>
      <c r="H13" s="19" t="s">
        <v>55</v>
      </c>
      <c r="I13" s="27"/>
      <c r="K13" s="10" t="s">
        <v>56</v>
      </c>
      <c r="Q13" s="11"/>
    </row>
    <row r="14" spans="1:17" ht="28.8" x14ac:dyDescent="0.3">
      <c r="A14" s="5" t="s">
        <v>57</v>
      </c>
      <c r="B14" s="27">
        <v>16</v>
      </c>
      <c r="C14" s="27">
        <v>12</v>
      </c>
      <c r="D14" s="27" t="s">
        <v>58</v>
      </c>
      <c r="E14" s="27">
        <v>2</v>
      </c>
      <c r="F14" s="27">
        <v>1</v>
      </c>
      <c r="G14" s="27" t="s">
        <v>59</v>
      </c>
      <c r="H14" s="27" t="s">
        <v>60</v>
      </c>
      <c r="I14" s="27"/>
      <c r="K14" s="13" t="s">
        <v>61</v>
      </c>
      <c r="L14" t="s">
        <v>62</v>
      </c>
      <c r="M14" t="s">
        <v>63</v>
      </c>
      <c r="Q14" s="11"/>
    </row>
    <row r="15" spans="1:17" x14ac:dyDescent="0.3">
      <c r="A15" s="5" t="s">
        <v>64</v>
      </c>
      <c r="B15" s="27">
        <v>15</v>
      </c>
      <c r="C15" s="27">
        <v>14</v>
      </c>
      <c r="D15" s="27" t="s">
        <v>65</v>
      </c>
      <c r="E15" s="27">
        <v>2</v>
      </c>
      <c r="F15" s="27">
        <v>1</v>
      </c>
      <c r="G15" s="27" t="s">
        <v>66</v>
      </c>
      <c r="H15" s="27" t="s">
        <v>67</v>
      </c>
      <c r="I15" s="27"/>
      <c r="K15" s="12"/>
      <c r="Q15" s="11"/>
    </row>
    <row r="16" spans="1:17" x14ac:dyDescent="0.3">
      <c r="A16" s="5" t="s">
        <v>68</v>
      </c>
      <c r="B16" s="27">
        <v>16</v>
      </c>
      <c r="C16" s="27">
        <v>15</v>
      </c>
      <c r="D16" s="27" t="s">
        <v>69</v>
      </c>
      <c r="E16" s="27">
        <v>2</v>
      </c>
      <c r="F16" s="27">
        <v>1</v>
      </c>
      <c r="G16" s="27" t="s">
        <v>70</v>
      </c>
      <c r="H16" s="27" t="s">
        <v>71</v>
      </c>
      <c r="I16" s="27"/>
      <c r="K16" s="14" t="s">
        <v>72</v>
      </c>
      <c r="L16" s="15"/>
      <c r="M16" s="15"/>
      <c r="N16" s="15"/>
      <c r="O16" s="15"/>
      <c r="P16" s="15"/>
      <c r="Q16" s="16"/>
    </row>
    <row r="17" spans="1:17" ht="14.95" thickBot="1" x14ac:dyDescent="0.35">
      <c r="A17" s="1"/>
    </row>
    <row r="18" spans="1:17" ht="14.95" thickBot="1" x14ac:dyDescent="0.35">
      <c r="B18" s="39" t="s">
        <v>73</v>
      </c>
      <c r="C18" s="40"/>
      <c r="D18" s="40"/>
      <c r="E18" s="40"/>
      <c r="F18" s="41"/>
    </row>
    <row r="19" spans="1:17" ht="28.4" customHeight="1" x14ac:dyDescent="0.3">
      <c r="B19" s="42" t="s">
        <v>74</v>
      </c>
      <c r="C19" s="43"/>
      <c r="D19" s="43"/>
      <c r="E19" s="43"/>
      <c r="F19" s="44"/>
      <c r="J19" s="22" t="s">
        <v>75</v>
      </c>
      <c r="K19" s="51" t="s">
        <v>76</v>
      </c>
      <c r="L19" s="51"/>
      <c r="M19" s="51"/>
      <c r="N19" s="51"/>
      <c r="O19" s="51"/>
      <c r="P19" s="51"/>
      <c r="Q19" s="52"/>
    </row>
    <row r="20" spans="1:17" ht="31.15" customHeight="1" x14ac:dyDescent="0.3">
      <c r="B20" s="42" t="s">
        <v>77</v>
      </c>
      <c r="C20" s="43"/>
      <c r="D20" s="43"/>
      <c r="E20" s="43"/>
      <c r="F20" s="44"/>
      <c r="J20" s="12" t="s">
        <v>78</v>
      </c>
      <c r="K20" s="5" t="s">
        <v>79</v>
      </c>
      <c r="L20" s="35" t="s">
        <v>80</v>
      </c>
      <c r="M20" s="35"/>
      <c r="N20" s="35"/>
      <c r="O20" s="35"/>
      <c r="P20" s="35"/>
      <c r="Q20" s="36"/>
    </row>
    <row r="21" spans="1:17" ht="46" customHeight="1" x14ac:dyDescent="0.3">
      <c r="B21" s="42" t="s">
        <v>81</v>
      </c>
      <c r="C21" s="43"/>
      <c r="D21" s="43"/>
      <c r="E21" s="43"/>
      <c r="F21" s="44"/>
      <c r="J21" s="12" t="s">
        <v>82</v>
      </c>
      <c r="K21" s="5" t="s">
        <v>83</v>
      </c>
      <c r="L21" s="35" t="s">
        <v>84</v>
      </c>
      <c r="M21" s="35"/>
      <c r="N21" s="35"/>
      <c r="O21" s="35"/>
      <c r="P21" s="35"/>
      <c r="Q21" s="36"/>
    </row>
    <row r="22" spans="1:17" ht="14.95" thickBot="1" x14ac:dyDescent="0.35">
      <c r="B22" s="45" t="s">
        <v>85</v>
      </c>
      <c r="C22" s="46"/>
      <c r="D22" s="46"/>
      <c r="E22" s="46"/>
      <c r="F22" s="47"/>
      <c r="J22" s="12" t="s">
        <v>82</v>
      </c>
      <c r="K22" s="5" t="s">
        <v>86</v>
      </c>
      <c r="L22" s="35" t="s">
        <v>87</v>
      </c>
      <c r="M22" s="35"/>
      <c r="N22" s="35"/>
      <c r="O22" s="35"/>
      <c r="P22" s="35"/>
      <c r="Q22" s="36"/>
    </row>
    <row r="23" spans="1:17" x14ac:dyDescent="0.3">
      <c r="J23" s="12" t="s">
        <v>88</v>
      </c>
      <c r="K23" s="5" t="s">
        <v>89</v>
      </c>
      <c r="L23" s="35" t="s">
        <v>90</v>
      </c>
      <c r="M23" s="35"/>
      <c r="N23" s="35"/>
      <c r="O23" s="35"/>
      <c r="P23" s="35"/>
      <c r="Q23" s="36"/>
    </row>
    <row r="24" spans="1:17" ht="28.8" x14ac:dyDescent="0.3">
      <c r="J24" s="12" t="s">
        <v>88</v>
      </c>
      <c r="K24" s="5" t="s">
        <v>91</v>
      </c>
      <c r="L24" s="35" t="s">
        <v>92</v>
      </c>
      <c r="M24" s="35"/>
      <c r="N24" s="35"/>
      <c r="O24" s="35"/>
      <c r="P24" s="35"/>
      <c r="Q24" s="36"/>
    </row>
    <row r="25" spans="1:17" x14ac:dyDescent="0.3">
      <c r="J25" s="12" t="s">
        <v>82</v>
      </c>
      <c r="K25" s="5" t="s">
        <v>93</v>
      </c>
      <c r="L25" s="35" t="s">
        <v>94</v>
      </c>
      <c r="M25" s="35"/>
      <c r="N25" s="35"/>
      <c r="O25" s="35"/>
      <c r="P25" s="35"/>
      <c r="Q25" s="36"/>
    </row>
    <row r="26" spans="1:17" ht="14.95" thickBot="1" x14ac:dyDescent="0.35">
      <c r="J26" s="14" t="s">
        <v>82</v>
      </c>
      <c r="K26" s="21" t="s">
        <v>95</v>
      </c>
      <c r="L26" s="37" t="s">
        <v>96</v>
      </c>
      <c r="M26" s="37"/>
      <c r="N26" s="37"/>
      <c r="O26" s="37"/>
      <c r="P26" s="37"/>
      <c r="Q26" s="38"/>
    </row>
  </sheetData>
  <mergeCells count="14">
    <mergeCell ref="K3:Q3"/>
    <mergeCell ref="K19:Q19"/>
    <mergeCell ref="L20:Q20"/>
    <mergeCell ref="L21:Q21"/>
    <mergeCell ref="L22:Q22"/>
    <mergeCell ref="L23:Q23"/>
    <mergeCell ref="L24:Q24"/>
    <mergeCell ref="L25:Q25"/>
    <mergeCell ref="L26:Q26"/>
    <mergeCell ref="B18:F18"/>
    <mergeCell ref="B19:F19"/>
    <mergeCell ref="B20:F20"/>
    <mergeCell ref="B21:F21"/>
    <mergeCell ref="B22:F2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C4F7-9AB1-4C68-AE6D-010B02EE4C29}">
  <dimension ref="A1:L58"/>
  <sheetViews>
    <sheetView workbookViewId="0"/>
  </sheetViews>
  <sheetFormatPr defaultRowHeight="14.4" x14ac:dyDescent="0.3"/>
  <cols>
    <col min="1" max="2" width="17.296875" style="2" customWidth="1"/>
    <col min="3" max="12" width="17.296875" customWidth="1"/>
  </cols>
  <sheetData>
    <row r="1" spans="1:12" x14ac:dyDescent="0.3">
      <c r="A1" s="2" t="s">
        <v>97</v>
      </c>
      <c r="B1" s="2" t="s">
        <v>4</v>
      </c>
      <c r="C1" t="s">
        <v>98</v>
      </c>
      <c r="D1" t="s">
        <v>5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</row>
    <row r="2" spans="1:12" x14ac:dyDescent="0.3">
      <c r="A2" s="2" t="s">
        <v>107</v>
      </c>
      <c r="B2" s="2" t="s">
        <v>108</v>
      </c>
      <c r="C2" t="s">
        <v>109</v>
      </c>
      <c r="D2">
        <v>1</v>
      </c>
      <c r="E2" t="s">
        <v>110</v>
      </c>
      <c r="F2" t="s">
        <v>111</v>
      </c>
      <c r="G2" t="s">
        <v>112</v>
      </c>
      <c r="H2" t="s">
        <v>111</v>
      </c>
      <c r="J2" t="s">
        <v>113</v>
      </c>
      <c r="K2">
        <f>VALUE(Table146[[#This Row],[Week]])</f>
        <v>1</v>
      </c>
    </row>
    <row r="3" spans="1:12" x14ac:dyDescent="0.3">
      <c r="A3" s="2" t="s">
        <v>107</v>
      </c>
      <c r="B3" s="2" t="s">
        <v>108</v>
      </c>
      <c r="C3" t="s">
        <v>114</v>
      </c>
      <c r="D3">
        <v>1</v>
      </c>
      <c r="E3" t="s">
        <v>115</v>
      </c>
      <c r="F3" t="s">
        <v>111</v>
      </c>
      <c r="G3">
        <v>2</v>
      </c>
      <c r="H3" t="s">
        <v>111</v>
      </c>
      <c r="J3" t="s">
        <v>113</v>
      </c>
      <c r="K3">
        <f>VALUE(Table146[[#This Row],[Week]])</f>
        <v>1</v>
      </c>
    </row>
    <row r="4" spans="1:12" x14ac:dyDescent="0.3">
      <c r="A4" s="2" t="s">
        <v>107</v>
      </c>
      <c r="B4" s="2" t="s">
        <v>108</v>
      </c>
      <c r="C4" t="s">
        <v>116</v>
      </c>
      <c r="D4">
        <v>1</v>
      </c>
      <c r="E4" t="s">
        <v>115</v>
      </c>
      <c r="F4" t="s">
        <v>111</v>
      </c>
      <c r="G4">
        <v>3</v>
      </c>
      <c r="H4" t="s">
        <v>111</v>
      </c>
      <c r="J4" t="s">
        <v>113</v>
      </c>
      <c r="K4">
        <f>VALUE(Table146[[#This Row],[Week]])</f>
        <v>1</v>
      </c>
    </row>
    <row r="5" spans="1:12" x14ac:dyDescent="0.3">
      <c r="A5" s="2" t="s">
        <v>107</v>
      </c>
      <c r="B5" s="2" t="s">
        <v>108</v>
      </c>
      <c r="C5" t="s">
        <v>117</v>
      </c>
      <c r="D5">
        <v>1</v>
      </c>
      <c r="E5" t="s">
        <v>115</v>
      </c>
      <c r="F5" t="s">
        <v>111</v>
      </c>
      <c r="G5">
        <v>4</v>
      </c>
      <c r="H5" t="s">
        <v>111</v>
      </c>
      <c r="J5" t="s">
        <v>113</v>
      </c>
      <c r="K5">
        <f>VALUE(Table146[[#This Row],[Week]])</f>
        <v>1</v>
      </c>
    </row>
    <row r="6" spans="1:12" x14ac:dyDescent="0.3">
      <c r="A6" s="2" t="s">
        <v>107</v>
      </c>
      <c r="B6" s="2" t="s">
        <v>108</v>
      </c>
      <c r="C6" t="s">
        <v>118</v>
      </c>
      <c r="D6">
        <v>1</v>
      </c>
      <c r="E6" t="s">
        <v>110</v>
      </c>
      <c r="F6" t="s">
        <v>111</v>
      </c>
      <c r="G6">
        <v>5</v>
      </c>
      <c r="H6" t="s">
        <v>111</v>
      </c>
      <c r="J6" t="s">
        <v>113</v>
      </c>
      <c r="K6">
        <f>VALUE(Table146[[#This Row],[Week]])</f>
        <v>1</v>
      </c>
    </row>
    <row r="7" spans="1:12" x14ac:dyDescent="0.3">
      <c r="A7" s="2" t="s">
        <v>107</v>
      </c>
      <c r="B7" s="2" t="s">
        <v>108</v>
      </c>
      <c r="C7" t="s">
        <v>119</v>
      </c>
      <c r="D7">
        <v>1</v>
      </c>
      <c r="E7" t="s">
        <v>115</v>
      </c>
      <c r="F7" t="s">
        <v>111</v>
      </c>
      <c r="G7">
        <v>6</v>
      </c>
      <c r="H7" t="s">
        <v>111</v>
      </c>
      <c r="J7" t="s">
        <v>113</v>
      </c>
      <c r="K7">
        <f>VALUE(Table146[[#This Row],[Week]])</f>
        <v>1</v>
      </c>
    </row>
    <row r="8" spans="1:12" x14ac:dyDescent="0.3">
      <c r="A8" s="2" t="s">
        <v>107</v>
      </c>
      <c r="B8" s="2" t="s">
        <v>108</v>
      </c>
      <c r="C8" t="s">
        <v>120</v>
      </c>
      <c r="D8">
        <v>1</v>
      </c>
      <c r="E8" t="s">
        <v>115</v>
      </c>
      <c r="F8" t="s">
        <v>111</v>
      </c>
      <c r="G8">
        <v>7</v>
      </c>
      <c r="H8" t="s">
        <v>111</v>
      </c>
      <c r="J8" t="s">
        <v>113</v>
      </c>
      <c r="K8">
        <f>VALUE(Table146[[#This Row],[Week]])</f>
        <v>1</v>
      </c>
    </row>
    <row r="9" spans="1:12" x14ac:dyDescent="0.3">
      <c r="A9" s="2" t="s">
        <v>107</v>
      </c>
      <c r="B9" s="2" t="s">
        <v>108</v>
      </c>
      <c r="C9" t="s">
        <v>121</v>
      </c>
      <c r="D9">
        <v>1</v>
      </c>
      <c r="F9" t="s">
        <v>122</v>
      </c>
      <c r="G9">
        <v>8</v>
      </c>
      <c r="H9" t="s">
        <v>113</v>
      </c>
      <c r="K9">
        <f>VALUE(Table146[[#This Row],[Week]])</f>
        <v>1</v>
      </c>
      <c r="L9" t="s">
        <v>122</v>
      </c>
    </row>
    <row r="10" spans="1:12" x14ac:dyDescent="0.3">
      <c r="A10" s="2" t="s">
        <v>107</v>
      </c>
      <c r="B10" s="2" t="s">
        <v>108</v>
      </c>
      <c r="C10" t="s">
        <v>123</v>
      </c>
      <c r="D10">
        <v>1</v>
      </c>
      <c r="E10" t="s">
        <v>115</v>
      </c>
      <c r="F10" t="s">
        <v>111</v>
      </c>
      <c r="G10">
        <v>9</v>
      </c>
      <c r="H10" t="s">
        <v>111</v>
      </c>
      <c r="J10" t="s">
        <v>113</v>
      </c>
      <c r="K10">
        <f>VALUE(Table146[[#This Row],[Week]])</f>
        <v>1</v>
      </c>
    </row>
    <row r="11" spans="1:12" x14ac:dyDescent="0.3">
      <c r="A11" s="2" t="s">
        <v>107</v>
      </c>
      <c r="B11" s="2" t="s">
        <v>108</v>
      </c>
      <c r="C11" t="s">
        <v>124</v>
      </c>
      <c r="D11">
        <v>1</v>
      </c>
      <c r="E11" t="s">
        <v>110</v>
      </c>
      <c r="F11" t="s">
        <v>111</v>
      </c>
      <c r="G11">
        <v>10</v>
      </c>
      <c r="H11" t="s">
        <v>111</v>
      </c>
      <c r="J11" t="s">
        <v>113</v>
      </c>
      <c r="K11">
        <f>VALUE(Table146[[#This Row],[Week]])</f>
        <v>1</v>
      </c>
    </row>
    <row r="12" spans="1:12" x14ac:dyDescent="0.3">
      <c r="A12" s="2" t="s">
        <v>107</v>
      </c>
      <c r="B12" s="2" t="s">
        <v>108</v>
      </c>
      <c r="C12" t="s">
        <v>125</v>
      </c>
      <c r="D12">
        <v>1</v>
      </c>
      <c r="E12" t="s">
        <v>115</v>
      </c>
      <c r="F12" t="s">
        <v>111</v>
      </c>
      <c r="G12">
        <v>11</v>
      </c>
      <c r="H12" t="s">
        <v>111</v>
      </c>
      <c r="J12" t="s">
        <v>113</v>
      </c>
      <c r="K12">
        <f>VALUE(Table146[[#This Row],[Week]])</f>
        <v>1</v>
      </c>
    </row>
    <row r="13" spans="1:12" x14ac:dyDescent="0.3">
      <c r="A13" s="2" t="s">
        <v>126</v>
      </c>
      <c r="B13" s="2" t="s">
        <v>108</v>
      </c>
      <c r="C13" t="s">
        <v>127</v>
      </c>
      <c r="D13">
        <v>2</v>
      </c>
      <c r="E13" t="s">
        <v>115</v>
      </c>
      <c r="F13" t="s">
        <v>111</v>
      </c>
      <c r="G13" t="s">
        <v>128</v>
      </c>
      <c r="H13" t="s">
        <v>111</v>
      </c>
      <c r="J13" t="s">
        <v>113</v>
      </c>
      <c r="K13">
        <f>VALUE(Table146[[#This Row],[Week]])</f>
        <v>1</v>
      </c>
    </row>
    <row r="14" spans="1:12" x14ac:dyDescent="0.3">
      <c r="A14" s="2" t="s">
        <v>126</v>
      </c>
      <c r="B14" s="2" t="s">
        <v>108</v>
      </c>
      <c r="C14" t="s">
        <v>129</v>
      </c>
      <c r="D14">
        <v>2</v>
      </c>
      <c r="E14" t="s">
        <v>115</v>
      </c>
      <c r="F14" t="s">
        <v>111</v>
      </c>
      <c r="G14">
        <v>2</v>
      </c>
      <c r="H14" t="s">
        <v>111</v>
      </c>
      <c r="J14" t="s">
        <v>113</v>
      </c>
      <c r="K14">
        <f>VALUE(Table146[[#This Row],[Week]])</f>
        <v>1</v>
      </c>
    </row>
    <row r="15" spans="1:12" x14ac:dyDescent="0.3">
      <c r="A15" s="2" t="s">
        <v>126</v>
      </c>
      <c r="B15" s="2" t="s">
        <v>108</v>
      </c>
      <c r="C15" t="s">
        <v>130</v>
      </c>
      <c r="D15">
        <v>2</v>
      </c>
      <c r="E15" t="s">
        <v>110</v>
      </c>
      <c r="F15" t="s">
        <v>111</v>
      </c>
      <c r="G15">
        <v>3</v>
      </c>
      <c r="H15" t="s">
        <v>111</v>
      </c>
      <c r="J15" t="s">
        <v>113</v>
      </c>
      <c r="K15">
        <f>VALUE(Table146[[#This Row],[Week]])</f>
        <v>1</v>
      </c>
    </row>
    <row r="16" spans="1:12" x14ac:dyDescent="0.3">
      <c r="A16" s="2" t="s">
        <v>126</v>
      </c>
      <c r="B16" s="2" t="s">
        <v>108</v>
      </c>
      <c r="C16" t="s">
        <v>131</v>
      </c>
      <c r="D16">
        <v>2</v>
      </c>
      <c r="E16" t="s">
        <v>110</v>
      </c>
      <c r="F16" t="s">
        <v>111</v>
      </c>
      <c r="G16">
        <v>4</v>
      </c>
      <c r="H16" t="s">
        <v>111</v>
      </c>
      <c r="J16" t="s">
        <v>113</v>
      </c>
      <c r="K16">
        <f>VALUE(Table146[[#This Row],[Week]])</f>
        <v>1</v>
      </c>
    </row>
    <row r="17" spans="1:12" x14ac:dyDescent="0.3">
      <c r="A17" s="2" t="s">
        <v>126</v>
      </c>
      <c r="B17" s="2" t="s">
        <v>108</v>
      </c>
      <c r="C17" t="s">
        <v>114</v>
      </c>
      <c r="D17">
        <v>2</v>
      </c>
      <c r="E17" t="s">
        <v>110</v>
      </c>
      <c r="F17" t="s">
        <v>111</v>
      </c>
      <c r="G17">
        <v>5</v>
      </c>
      <c r="H17" t="s">
        <v>111</v>
      </c>
      <c r="J17" t="s">
        <v>113</v>
      </c>
      <c r="K17">
        <f>VALUE(Table146[[#This Row],[Week]])</f>
        <v>1</v>
      </c>
      <c r="L17" s="3" t="s">
        <v>132</v>
      </c>
    </row>
    <row r="18" spans="1:12" x14ac:dyDescent="0.3">
      <c r="A18" s="2" t="s">
        <v>126</v>
      </c>
      <c r="B18" s="2" t="s">
        <v>108</v>
      </c>
      <c r="C18" t="s">
        <v>116</v>
      </c>
      <c r="D18">
        <v>2</v>
      </c>
      <c r="E18" t="s">
        <v>110</v>
      </c>
      <c r="F18" t="s">
        <v>111</v>
      </c>
      <c r="G18">
        <v>6</v>
      </c>
      <c r="H18" t="s">
        <v>111</v>
      </c>
      <c r="J18" t="s">
        <v>113</v>
      </c>
      <c r="K18">
        <f>VALUE(Table146[[#This Row],[Week]])</f>
        <v>1</v>
      </c>
    </row>
    <row r="19" spans="1:12" x14ac:dyDescent="0.3">
      <c r="A19" s="2" t="s">
        <v>126</v>
      </c>
      <c r="B19" s="2" t="s">
        <v>108</v>
      </c>
      <c r="C19" t="s">
        <v>117</v>
      </c>
      <c r="D19">
        <v>2</v>
      </c>
      <c r="E19" t="s">
        <v>110</v>
      </c>
      <c r="F19" t="s">
        <v>111</v>
      </c>
      <c r="G19">
        <v>7</v>
      </c>
      <c r="H19" t="s">
        <v>111</v>
      </c>
      <c r="J19" t="s">
        <v>113</v>
      </c>
      <c r="K19">
        <f>VALUE(Table146[[#This Row],[Week]])</f>
        <v>1</v>
      </c>
      <c r="L19" t="s">
        <v>133</v>
      </c>
    </row>
    <row r="20" spans="1:12" x14ac:dyDescent="0.3">
      <c r="A20" s="2" t="s">
        <v>126</v>
      </c>
      <c r="B20" s="2" t="s">
        <v>108</v>
      </c>
      <c r="C20" t="s">
        <v>118</v>
      </c>
      <c r="D20">
        <v>2</v>
      </c>
      <c r="E20" t="s">
        <v>115</v>
      </c>
      <c r="F20" t="s">
        <v>111</v>
      </c>
      <c r="G20">
        <v>8</v>
      </c>
      <c r="H20" t="s">
        <v>111</v>
      </c>
      <c r="J20" t="s">
        <v>113</v>
      </c>
      <c r="K20">
        <f>VALUE(Table146[[#This Row],[Week]])</f>
        <v>1</v>
      </c>
    </row>
    <row r="21" spans="1:12" x14ac:dyDescent="0.3">
      <c r="A21" s="2" t="s">
        <v>126</v>
      </c>
      <c r="B21" s="2" t="s">
        <v>108</v>
      </c>
      <c r="C21" t="s">
        <v>119</v>
      </c>
      <c r="D21">
        <v>2</v>
      </c>
      <c r="E21" t="s">
        <v>110</v>
      </c>
      <c r="F21" t="s">
        <v>111</v>
      </c>
      <c r="G21">
        <v>9</v>
      </c>
      <c r="H21" t="s">
        <v>111</v>
      </c>
      <c r="J21" t="s">
        <v>113</v>
      </c>
      <c r="K21">
        <f>VALUE(Table146[[#This Row],[Week]])</f>
        <v>1</v>
      </c>
    </row>
    <row r="22" spans="1:12" x14ac:dyDescent="0.3">
      <c r="A22" s="2" t="s">
        <v>126</v>
      </c>
      <c r="B22" s="2" t="s">
        <v>108</v>
      </c>
      <c r="C22" t="s">
        <v>120</v>
      </c>
      <c r="D22">
        <v>2</v>
      </c>
      <c r="E22" t="s">
        <v>110</v>
      </c>
      <c r="F22" t="s">
        <v>111</v>
      </c>
      <c r="G22">
        <v>10</v>
      </c>
      <c r="H22" t="s">
        <v>111</v>
      </c>
      <c r="J22" t="s">
        <v>113</v>
      </c>
      <c r="K22">
        <f>VALUE(Table146[[#This Row],[Week]])</f>
        <v>1</v>
      </c>
    </row>
    <row r="23" spans="1:12" x14ac:dyDescent="0.3">
      <c r="A23" s="2" t="s">
        <v>134</v>
      </c>
      <c r="B23" s="2" t="s">
        <v>135</v>
      </c>
      <c r="C23" t="s">
        <v>136</v>
      </c>
      <c r="D23">
        <v>1</v>
      </c>
      <c r="E23" t="s">
        <v>110</v>
      </c>
      <c r="F23" t="s">
        <v>111</v>
      </c>
      <c r="G23">
        <v>19</v>
      </c>
      <c r="H23" t="s">
        <v>111</v>
      </c>
      <c r="J23" t="s">
        <v>111</v>
      </c>
      <c r="K23">
        <f>VALUE(Table146[[#This Row],[Week]])</f>
        <v>2</v>
      </c>
    </row>
    <row r="24" spans="1:12" x14ac:dyDescent="0.3">
      <c r="A24" s="2" t="s">
        <v>134</v>
      </c>
      <c r="B24" s="2" t="s">
        <v>135</v>
      </c>
      <c r="C24" t="s">
        <v>137</v>
      </c>
      <c r="D24">
        <v>1</v>
      </c>
      <c r="E24" t="s">
        <v>115</v>
      </c>
      <c r="F24" t="s">
        <v>111</v>
      </c>
      <c r="G24">
        <v>27</v>
      </c>
      <c r="H24" t="s">
        <v>111</v>
      </c>
      <c r="J24" t="s">
        <v>111</v>
      </c>
      <c r="K24">
        <f>VALUE(Table146[[#This Row],[Week]])</f>
        <v>2</v>
      </c>
    </row>
    <row r="25" spans="1:12" x14ac:dyDescent="0.3">
      <c r="A25" s="2" t="s">
        <v>134</v>
      </c>
      <c r="B25" s="2" t="s">
        <v>135</v>
      </c>
      <c r="C25" t="s">
        <v>138</v>
      </c>
      <c r="D25">
        <v>1</v>
      </c>
      <c r="E25" t="s">
        <v>139</v>
      </c>
      <c r="F25" t="s">
        <v>139</v>
      </c>
      <c r="G25" t="s">
        <v>139</v>
      </c>
      <c r="H25" t="s">
        <v>139</v>
      </c>
      <c r="I25" t="s">
        <v>139</v>
      </c>
      <c r="J25" t="s">
        <v>139</v>
      </c>
      <c r="K25">
        <f>VALUE(Table146[[#This Row],[Week]])</f>
        <v>2</v>
      </c>
    </row>
    <row r="26" spans="1:12" x14ac:dyDescent="0.3">
      <c r="A26" s="2" t="s">
        <v>134</v>
      </c>
      <c r="B26" s="2" t="s">
        <v>135</v>
      </c>
      <c r="C26" t="s">
        <v>140</v>
      </c>
      <c r="D26">
        <v>1</v>
      </c>
      <c r="E26" t="s">
        <v>110</v>
      </c>
      <c r="F26" t="s">
        <v>111</v>
      </c>
      <c r="G26">
        <v>42</v>
      </c>
      <c r="H26" t="s">
        <v>111</v>
      </c>
      <c r="J26" t="s">
        <v>111</v>
      </c>
      <c r="K26">
        <f>VALUE(Table146[[#This Row],[Week]])</f>
        <v>2</v>
      </c>
    </row>
    <row r="27" spans="1:12" x14ac:dyDescent="0.3">
      <c r="A27" s="2" t="s">
        <v>134</v>
      </c>
      <c r="B27" s="2" t="s">
        <v>135</v>
      </c>
      <c r="C27" t="s">
        <v>141</v>
      </c>
      <c r="D27">
        <v>1</v>
      </c>
      <c r="E27" t="s">
        <v>110</v>
      </c>
      <c r="F27" t="s">
        <v>111</v>
      </c>
      <c r="G27">
        <v>46</v>
      </c>
      <c r="H27" t="s">
        <v>111</v>
      </c>
      <c r="J27" t="s">
        <v>111</v>
      </c>
      <c r="K27">
        <f>VALUE(Table146[[#This Row],[Week]])</f>
        <v>2</v>
      </c>
    </row>
    <row r="28" spans="1:12" x14ac:dyDescent="0.3">
      <c r="A28" s="2" t="s">
        <v>134</v>
      </c>
      <c r="B28" s="2" t="s">
        <v>135</v>
      </c>
      <c r="C28" t="s">
        <v>142</v>
      </c>
      <c r="D28">
        <v>1</v>
      </c>
      <c r="E28" t="s">
        <v>115</v>
      </c>
      <c r="F28" t="s">
        <v>111</v>
      </c>
      <c r="G28">
        <v>52</v>
      </c>
      <c r="H28" t="s">
        <v>111</v>
      </c>
      <c r="J28" t="s">
        <v>111</v>
      </c>
      <c r="K28">
        <f>VALUE(Table146[[#This Row],[Week]])</f>
        <v>2</v>
      </c>
    </row>
    <row r="29" spans="1:12" x14ac:dyDescent="0.3">
      <c r="A29" s="2" t="s">
        <v>134</v>
      </c>
      <c r="B29" s="2" t="s">
        <v>135</v>
      </c>
      <c r="C29" t="s">
        <v>143</v>
      </c>
      <c r="D29">
        <v>1</v>
      </c>
      <c r="E29" t="s">
        <v>115</v>
      </c>
      <c r="F29" t="s">
        <v>111</v>
      </c>
      <c r="G29">
        <v>58</v>
      </c>
      <c r="H29" t="s">
        <v>111</v>
      </c>
      <c r="J29" t="s">
        <v>111</v>
      </c>
      <c r="K29">
        <f>VALUE(Table146[[#This Row],[Week]])</f>
        <v>2</v>
      </c>
    </row>
    <row r="30" spans="1:12" x14ac:dyDescent="0.3">
      <c r="A30" s="2" t="s">
        <v>134</v>
      </c>
      <c r="B30" s="2" t="s">
        <v>135</v>
      </c>
      <c r="C30" t="s">
        <v>144</v>
      </c>
      <c r="D30">
        <v>1</v>
      </c>
      <c r="E30" t="s">
        <v>115</v>
      </c>
      <c r="F30" t="s">
        <v>111</v>
      </c>
      <c r="G30">
        <v>64</v>
      </c>
      <c r="H30" t="s">
        <v>111</v>
      </c>
      <c r="J30" t="s">
        <v>111</v>
      </c>
      <c r="K30">
        <f>VALUE(Table146[[#This Row],[Week]])</f>
        <v>2</v>
      </c>
    </row>
    <row r="31" spans="1:12" x14ac:dyDescent="0.3">
      <c r="A31" s="2" t="s">
        <v>134</v>
      </c>
      <c r="B31" s="2" t="s">
        <v>135</v>
      </c>
      <c r="C31" t="s">
        <v>145</v>
      </c>
      <c r="D31">
        <v>1</v>
      </c>
      <c r="E31" t="s">
        <v>115</v>
      </c>
      <c r="F31" t="s">
        <v>111</v>
      </c>
      <c r="G31">
        <v>69</v>
      </c>
      <c r="H31" t="s">
        <v>111</v>
      </c>
      <c r="J31" t="s">
        <v>113</v>
      </c>
      <c r="K31">
        <f>VALUE(Table146[[#This Row],[Week]])</f>
        <v>2</v>
      </c>
    </row>
    <row r="32" spans="1:12" x14ac:dyDescent="0.3">
      <c r="A32" s="2" t="s">
        <v>134</v>
      </c>
      <c r="B32" s="2" t="s">
        <v>135</v>
      </c>
      <c r="C32" t="s">
        <v>146</v>
      </c>
      <c r="D32">
        <v>1</v>
      </c>
      <c r="E32" t="s">
        <v>115</v>
      </c>
      <c r="F32" t="s">
        <v>111</v>
      </c>
      <c r="G32">
        <v>76</v>
      </c>
      <c r="H32" t="s">
        <v>111</v>
      </c>
      <c r="J32" t="s">
        <v>111</v>
      </c>
      <c r="K32">
        <f>VALUE(Table146[[#This Row],[Week]])</f>
        <v>2</v>
      </c>
    </row>
    <row r="33" spans="1:12" x14ac:dyDescent="0.3">
      <c r="A33" s="2" t="s">
        <v>134</v>
      </c>
      <c r="B33" s="2" t="s">
        <v>135</v>
      </c>
      <c r="C33" t="s">
        <v>147</v>
      </c>
      <c r="D33">
        <v>1</v>
      </c>
      <c r="E33" t="s">
        <v>115</v>
      </c>
      <c r="F33" t="s">
        <v>111</v>
      </c>
      <c r="G33">
        <v>4</v>
      </c>
      <c r="H33" t="s">
        <v>111</v>
      </c>
      <c r="J33" t="s">
        <v>113</v>
      </c>
      <c r="K33">
        <f>VALUE(Table146[[#This Row],[Week]])</f>
        <v>2</v>
      </c>
    </row>
    <row r="34" spans="1:12" x14ac:dyDescent="0.3">
      <c r="A34" s="2" t="s">
        <v>134</v>
      </c>
      <c r="B34" s="2" t="s">
        <v>135</v>
      </c>
      <c r="C34" t="s">
        <v>148</v>
      </c>
      <c r="D34">
        <v>1</v>
      </c>
      <c r="E34" t="s">
        <v>110</v>
      </c>
      <c r="F34" t="s">
        <v>111</v>
      </c>
      <c r="G34">
        <v>12</v>
      </c>
      <c r="H34" t="s">
        <v>111</v>
      </c>
      <c r="J34" t="s">
        <v>113</v>
      </c>
      <c r="K34">
        <f>VALUE(Table146[[#This Row],[Week]])</f>
        <v>2</v>
      </c>
    </row>
    <row r="35" spans="1:12" x14ac:dyDescent="0.3">
      <c r="A35" s="2" t="s">
        <v>134</v>
      </c>
      <c r="B35" s="2" t="s">
        <v>135</v>
      </c>
      <c r="C35" t="s">
        <v>149</v>
      </c>
      <c r="D35">
        <v>1</v>
      </c>
      <c r="E35" t="s">
        <v>110</v>
      </c>
      <c r="F35" t="s">
        <v>111</v>
      </c>
      <c r="G35">
        <v>20</v>
      </c>
      <c r="H35" t="s">
        <v>111</v>
      </c>
      <c r="J35" t="s">
        <v>111</v>
      </c>
      <c r="K35">
        <f>VALUE(Table146[[#This Row],[Week]])</f>
        <v>2</v>
      </c>
    </row>
    <row r="36" spans="1:12" x14ac:dyDescent="0.3">
      <c r="A36" s="2" t="s">
        <v>134</v>
      </c>
      <c r="B36" s="2" t="s">
        <v>135</v>
      </c>
      <c r="C36" t="s">
        <v>150</v>
      </c>
      <c r="D36">
        <v>1</v>
      </c>
      <c r="E36" t="s">
        <v>110</v>
      </c>
      <c r="F36" t="s">
        <v>111</v>
      </c>
      <c r="G36">
        <v>28</v>
      </c>
      <c r="H36" t="s">
        <v>111</v>
      </c>
      <c r="J36" t="s">
        <v>113</v>
      </c>
      <c r="K36">
        <f>VALUE(Table146[[#This Row],[Week]])</f>
        <v>2</v>
      </c>
    </row>
    <row r="37" spans="1:12" x14ac:dyDescent="0.3">
      <c r="A37" s="2" t="s">
        <v>134</v>
      </c>
      <c r="B37" s="2" t="s">
        <v>135</v>
      </c>
      <c r="C37" t="s">
        <v>151</v>
      </c>
      <c r="D37">
        <v>1</v>
      </c>
      <c r="E37" t="s">
        <v>115</v>
      </c>
      <c r="F37" t="s">
        <v>111</v>
      </c>
      <c r="G37">
        <v>35</v>
      </c>
      <c r="H37" t="s">
        <v>111</v>
      </c>
      <c r="J37" t="s">
        <v>111</v>
      </c>
      <c r="K37">
        <f>VALUE(Table146[[#This Row],[Week]])</f>
        <v>2</v>
      </c>
    </row>
    <row r="38" spans="1:12" x14ac:dyDescent="0.3">
      <c r="A38" s="2" t="s">
        <v>134</v>
      </c>
      <c r="B38" s="2" t="s">
        <v>135</v>
      </c>
      <c r="C38" t="s">
        <v>152</v>
      </c>
      <c r="D38">
        <v>1</v>
      </c>
      <c r="E38" t="s">
        <v>115</v>
      </c>
      <c r="F38" t="s">
        <v>111</v>
      </c>
      <c r="G38">
        <v>43</v>
      </c>
      <c r="H38" t="s">
        <v>111</v>
      </c>
      <c r="J38" t="s">
        <v>113</v>
      </c>
      <c r="K38">
        <f>VALUE(Table146[[#This Row],[Week]])</f>
        <v>2</v>
      </c>
    </row>
    <row r="39" spans="1:12" x14ac:dyDescent="0.3">
      <c r="A39" s="2" t="s">
        <v>153</v>
      </c>
      <c r="B39" s="2" t="s">
        <v>108</v>
      </c>
      <c r="C39" t="s">
        <v>154</v>
      </c>
      <c r="D39">
        <v>2</v>
      </c>
      <c r="E39" t="s">
        <v>115</v>
      </c>
      <c r="F39" t="s">
        <v>111</v>
      </c>
      <c r="G39">
        <v>35</v>
      </c>
      <c r="H39" t="s">
        <v>111</v>
      </c>
      <c r="J39" t="s">
        <v>155</v>
      </c>
      <c r="K39">
        <f>VALUE(Table146[[#This Row],[Week]])</f>
        <v>1</v>
      </c>
      <c r="L39" t="s">
        <v>156</v>
      </c>
    </row>
    <row r="40" spans="1:12" x14ac:dyDescent="0.3">
      <c r="A40" s="2" t="s">
        <v>153</v>
      </c>
      <c r="B40" s="2" t="s">
        <v>108</v>
      </c>
      <c r="C40" t="s">
        <v>157</v>
      </c>
      <c r="D40">
        <v>2</v>
      </c>
      <c r="E40" t="s">
        <v>110</v>
      </c>
      <c r="F40" t="s">
        <v>111</v>
      </c>
      <c r="G40">
        <v>36</v>
      </c>
      <c r="H40" t="s">
        <v>111</v>
      </c>
      <c r="J40" t="s">
        <v>155</v>
      </c>
      <c r="K40">
        <f>VALUE(Table146[[#This Row],[Week]])</f>
        <v>1</v>
      </c>
      <c r="L40" t="s">
        <v>156</v>
      </c>
    </row>
    <row r="41" spans="1:12" x14ac:dyDescent="0.3">
      <c r="A41" s="2" t="s">
        <v>153</v>
      </c>
      <c r="B41" s="2" t="s">
        <v>108</v>
      </c>
      <c r="C41" t="s">
        <v>158</v>
      </c>
      <c r="D41">
        <v>2</v>
      </c>
      <c r="E41" t="s">
        <v>110</v>
      </c>
      <c r="F41" t="s">
        <v>111</v>
      </c>
      <c r="G41">
        <v>37</v>
      </c>
      <c r="H41" t="s">
        <v>111</v>
      </c>
      <c r="J41" t="s">
        <v>155</v>
      </c>
      <c r="K41">
        <f>VALUE(Table146[[#This Row],[Week]])</f>
        <v>1</v>
      </c>
      <c r="L41" t="s">
        <v>156</v>
      </c>
    </row>
    <row r="42" spans="1:12" x14ac:dyDescent="0.3">
      <c r="A42" s="2" t="s">
        <v>153</v>
      </c>
      <c r="B42" s="2" t="s">
        <v>108</v>
      </c>
      <c r="C42" t="s">
        <v>159</v>
      </c>
      <c r="D42">
        <v>2</v>
      </c>
      <c r="E42" t="s">
        <v>115</v>
      </c>
      <c r="F42" t="s">
        <v>111</v>
      </c>
      <c r="G42">
        <v>38</v>
      </c>
      <c r="H42" t="s">
        <v>111</v>
      </c>
      <c r="J42" t="s">
        <v>155</v>
      </c>
      <c r="K42">
        <f>VALUE(Table146[[#This Row],[Week]])</f>
        <v>1</v>
      </c>
      <c r="L42" t="s">
        <v>156</v>
      </c>
    </row>
    <row r="43" spans="1:12" x14ac:dyDescent="0.3">
      <c r="A43" s="2" t="s">
        <v>153</v>
      </c>
      <c r="B43" s="2" t="s">
        <v>108</v>
      </c>
      <c r="C43" t="s">
        <v>160</v>
      </c>
      <c r="D43">
        <v>2</v>
      </c>
      <c r="E43" t="s">
        <v>110</v>
      </c>
      <c r="F43" t="s">
        <v>111</v>
      </c>
      <c r="G43">
        <v>39</v>
      </c>
      <c r="H43" t="s">
        <v>111</v>
      </c>
      <c r="J43" t="s">
        <v>155</v>
      </c>
      <c r="K43">
        <f>VALUE(Table146[[#This Row],[Week]])</f>
        <v>1</v>
      </c>
      <c r="L43" t="s">
        <v>156</v>
      </c>
    </row>
    <row r="44" spans="1:12" x14ac:dyDescent="0.3">
      <c r="A44" s="2" t="s">
        <v>153</v>
      </c>
      <c r="B44" s="2" t="s">
        <v>108</v>
      </c>
      <c r="C44" t="s">
        <v>161</v>
      </c>
      <c r="D44">
        <v>2</v>
      </c>
      <c r="E44" t="s">
        <v>110</v>
      </c>
      <c r="F44" t="s">
        <v>111</v>
      </c>
      <c r="G44">
        <v>40</v>
      </c>
      <c r="H44" t="s">
        <v>111</v>
      </c>
      <c r="J44" t="s">
        <v>155</v>
      </c>
      <c r="K44">
        <f>VALUE(Table146[[#This Row],[Week]])</f>
        <v>1</v>
      </c>
      <c r="L44" t="s">
        <v>156</v>
      </c>
    </row>
    <row r="45" spans="1:12" x14ac:dyDescent="0.3">
      <c r="A45" s="2" t="s">
        <v>153</v>
      </c>
      <c r="B45" s="2" t="s">
        <v>108</v>
      </c>
      <c r="C45" t="s">
        <v>162</v>
      </c>
      <c r="D45">
        <v>2</v>
      </c>
      <c r="E45" t="s">
        <v>115</v>
      </c>
      <c r="F45" t="s">
        <v>111</v>
      </c>
      <c r="G45">
        <v>41</v>
      </c>
      <c r="H45" t="s">
        <v>111</v>
      </c>
      <c r="J45" t="s">
        <v>155</v>
      </c>
      <c r="K45">
        <f>VALUE(Table146[[#This Row],[Week]])</f>
        <v>1</v>
      </c>
      <c r="L45" t="s">
        <v>156</v>
      </c>
    </row>
    <row r="46" spans="1:12" x14ac:dyDescent="0.3">
      <c r="A46" s="2" t="s">
        <v>153</v>
      </c>
      <c r="B46" s="2" t="s">
        <v>108</v>
      </c>
      <c r="C46" t="s">
        <v>163</v>
      </c>
      <c r="D46">
        <v>2</v>
      </c>
      <c r="E46" t="s">
        <v>110</v>
      </c>
      <c r="F46" t="s">
        <v>111</v>
      </c>
      <c r="G46">
        <v>42</v>
      </c>
      <c r="H46" t="s">
        <v>111</v>
      </c>
      <c r="J46" t="s">
        <v>155</v>
      </c>
      <c r="K46">
        <f>VALUE(Table146[[#This Row],[Week]])</f>
        <v>1</v>
      </c>
      <c r="L46" t="s">
        <v>156</v>
      </c>
    </row>
    <row r="47" spans="1:12" x14ac:dyDescent="0.3">
      <c r="A47" s="2" t="s">
        <v>153</v>
      </c>
      <c r="B47" s="2" t="s">
        <v>108</v>
      </c>
      <c r="C47" t="s">
        <v>164</v>
      </c>
      <c r="D47">
        <v>2</v>
      </c>
      <c r="E47" t="s">
        <v>110</v>
      </c>
      <c r="F47" t="s">
        <v>111</v>
      </c>
      <c r="G47">
        <v>43</v>
      </c>
      <c r="H47" t="s">
        <v>111</v>
      </c>
      <c r="J47" t="s">
        <v>155</v>
      </c>
      <c r="K47">
        <f>VALUE(Table146[[#This Row],[Week]])</f>
        <v>1</v>
      </c>
      <c r="L47" t="s">
        <v>156</v>
      </c>
    </row>
    <row r="48" spans="1:12" x14ac:dyDescent="0.3">
      <c r="A48" s="2" t="s">
        <v>153</v>
      </c>
      <c r="B48" s="2" t="s">
        <v>108</v>
      </c>
      <c r="C48" t="s">
        <v>165</v>
      </c>
      <c r="D48">
        <v>2</v>
      </c>
      <c r="E48" t="s">
        <v>110</v>
      </c>
      <c r="F48" t="s">
        <v>111</v>
      </c>
      <c r="G48">
        <v>44</v>
      </c>
      <c r="H48" t="s">
        <v>111</v>
      </c>
      <c r="J48" t="s">
        <v>155</v>
      </c>
      <c r="K48">
        <f>VALUE(Table146[[#This Row],[Week]])</f>
        <v>1</v>
      </c>
      <c r="L48" t="s">
        <v>156</v>
      </c>
    </row>
    <row r="49" spans="1:12" x14ac:dyDescent="0.3">
      <c r="A49" s="2" t="s">
        <v>153</v>
      </c>
      <c r="B49" s="2" t="s">
        <v>108</v>
      </c>
      <c r="C49" t="s">
        <v>166</v>
      </c>
      <c r="D49">
        <v>2</v>
      </c>
      <c r="E49" t="s">
        <v>110</v>
      </c>
      <c r="F49" t="s">
        <v>111</v>
      </c>
      <c r="G49">
        <v>45</v>
      </c>
      <c r="H49" t="s">
        <v>111</v>
      </c>
      <c r="J49" t="s">
        <v>155</v>
      </c>
      <c r="K49">
        <f>VALUE(Table146[[#This Row],[Week]])</f>
        <v>1</v>
      </c>
      <c r="L49" t="s">
        <v>156</v>
      </c>
    </row>
    <row r="50" spans="1:12" x14ac:dyDescent="0.3">
      <c r="A50" s="2" t="s">
        <v>153</v>
      </c>
      <c r="B50" s="2" t="s">
        <v>108</v>
      </c>
      <c r="C50" t="s">
        <v>167</v>
      </c>
      <c r="D50">
        <v>2</v>
      </c>
      <c r="E50" t="s">
        <v>115</v>
      </c>
      <c r="F50" t="s">
        <v>111</v>
      </c>
      <c r="G50">
        <v>46</v>
      </c>
      <c r="H50" t="s">
        <v>111</v>
      </c>
      <c r="J50" t="s">
        <v>155</v>
      </c>
      <c r="K50">
        <f>VALUE(Table146[[#This Row],[Week]])</f>
        <v>1</v>
      </c>
      <c r="L50" t="s">
        <v>156</v>
      </c>
    </row>
    <row r="51" spans="1:12" x14ac:dyDescent="0.3">
      <c r="A51" s="2" t="s">
        <v>153</v>
      </c>
      <c r="B51" s="2" t="s">
        <v>108</v>
      </c>
      <c r="C51" t="s">
        <v>168</v>
      </c>
      <c r="D51">
        <v>2</v>
      </c>
      <c r="E51" t="s">
        <v>115</v>
      </c>
      <c r="F51" t="s">
        <v>111</v>
      </c>
      <c r="G51" t="s">
        <v>169</v>
      </c>
      <c r="H51" t="s">
        <v>111</v>
      </c>
      <c r="J51" t="s">
        <v>111</v>
      </c>
      <c r="K51">
        <f>VALUE(Table146[[#This Row],[Week]])</f>
        <v>1</v>
      </c>
    </row>
    <row r="52" spans="1:12" x14ac:dyDescent="0.3">
      <c r="A52" s="2" t="s">
        <v>153</v>
      </c>
      <c r="B52" s="2" t="s">
        <v>108</v>
      </c>
      <c r="C52" t="s">
        <v>170</v>
      </c>
      <c r="D52">
        <v>2</v>
      </c>
      <c r="E52" t="s">
        <v>115</v>
      </c>
      <c r="F52" t="s">
        <v>111</v>
      </c>
      <c r="G52">
        <v>7</v>
      </c>
      <c r="H52" t="s">
        <v>111</v>
      </c>
      <c r="J52" t="s">
        <v>111</v>
      </c>
      <c r="K52">
        <f>VALUE(Table146[[#This Row],[Week]])</f>
        <v>1</v>
      </c>
    </row>
    <row r="53" spans="1:12" x14ac:dyDescent="0.3">
      <c r="A53" s="2" t="s">
        <v>153</v>
      </c>
      <c r="B53" s="2" t="s">
        <v>108</v>
      </c>
      <c r="C53" t="s">
        <v>171</v>
      </c>
      <c r="D53">
        <v>2</v>
      </c>
      <c r="E53" t="s">
        <v>115</v>
      </c>
      <c r="F53" t="s">
        <v>111</v>
      </c>
      <c r="G53">
        <v>8</v>
      </c>
      <c r="H53" t="s">
        <v>111</v>
      </c>
      <c r="J53" t="s">
        <v>111</v>
      </c>
      <c r="K53">
        <f>VALUE(Table146[[#This Row],[Week]])</f>
        <v>1</v>
      </c>
    </row>
    <row r="54" spans="1:12" x14ac:dyDescent="0.3">
      <c r="A54" s="2" t="s">
        <v>153</v>
      </c>
      <c r="B54" s="2" t="s">
        <v>108</v>
      </c>
      <c r="C54" t="s">
        <v>172</v>
      </c>
      <c r="D54">
        <v>2</v>
      </c>
      <c r="E54" t="s">
        <v>110</v>
      </c>
      <c r="F54" t="s">
        <v>111</v>
      </c>
      <c r="G54">
        <v>9</v>
      </c>
      <c r="H54" t="s">
        <v>111</v>
      </c>
      <c r="J54" t="s">
        <v>113</v>
      </c>
      <c r="K54">
        <f>VALUE(Table146[[#This Row],[Week]])</f>
        <v>1</v>
      </c>
    </row>
    <row r="55" spans="1:12" x14ac:dyDescent="0.3">
      <c r="A55" s="2" t="s">
        <v>153</v>
      </c>
      <c r="B55" s="2" t="s">
        <v>108</v>
      </c>
      <c r="C55" t="s">
        <v>173</v>
      </c>
      <c r="D55">
        <v>2</v>
      </c>
      <c r="E55" t="s">
        <v>115</v>
      </c>
      <c r="F55" t="s">
        <v>111</v>
      </c>
      <c r="G55">
        <v>10</v>
      </c>
      <c r="H55" t="s">
        <v>111</v>
      </c>
      <c r="J55" t="s">
        <v>111</v>
      </c>
      <c r="K55">
        <f>VALUE(Table146[[#This Row],[Week]])</f>
        <v>1</v>
      </c>
    </row>
    <row r="56" spans="1:12" x14ac:dyDescent="0.3">
      <c r="A56" s="2" t="s">
        <v>153</v>
      </c>
      <c r="B56" s="2" t="s">
        <v>108</v>
      </c>
      <c r="C56" t="s">
        <v>174</v>
      </c>
      <c r="D56">
        <v>2</v>
      </c>
      <c r="E56" t="s">
        <v>115</v>
      </c>
      <c r="F56" t="s">
        <v>111</v>
      </c>
      <c r="G56">
        <v>11</v>
      </c>
      <c r="H56" t="s">
        <v>111</v>
      </c>
      <c r="J56" t="s">
        <v>111</v>
      </c>
      <c r="K56">
        <f>VALUE(Table146[[#This Row],[Week]])</f>
        <v>1</v>
      </c>
    </row>
    <row r="57" spans="1:12" x14ac:dyDescent="0.3">
      <c r="A57" s="2" t="s">
        <v>153</v>
      </c>
      <c r="B57" s="2" t="s">
        <v>108</v>
      </c>
      <c r="C57" t="s">
        <v>175</v>
      </c>
      <c r="D57">
        <v>2</v>
      </c>
      <c r="E57" t="s">
        <v>115</v>
      </c>
      <c r="F57" t="s">
        <v>111</v>
      </c>
      <c r="G57">
        <v>12</v>
      </c>
      <c r="H57" t="s">
        <v>111</v>
      </c>
      <c r="J57" t="s">
        <v>111</v>
      </c>
      <c r="K57">
        <f>VALUE(Table146[[#This Row],[Week]])</f>
        <v>1</v>
      </c>
    </row>
    <row r="58" spans="1:12" x14ac:dyDescent="0.3">
      <c r="A58" s="2" t="s">
        <v>153</v>
      </c>
      <c r="B58" s="2" t="s">
        <v>108</v>
      </c>
      <c r="C58" t="s">
        <v>176</v>
      </c>
      <c r="D58">
        <v>2</v>
      </c>
      <c r="E58" t="s">
        <v>115</v>
      </c>
      <c r="F58" t="s">
        <v>111</v>
      </c>
      <c r="G58">
        <v>13</v>
      </c>
      <c r="H58" t="s">
        <v>111</v>
      </c>
      <c r="J58" t="s">
        <v>113</v>
      </c>
      <c r="K58">
        <f>VALUE(Table146[[#This Row],[Week]])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55D4-3688-4D7F-B510-ECD548363AC7}">
  <dimension ref="A1:L42"/>
  <sheetViews>
    <sheetView topLeftCell="A23" workbookViewId="0">
      <selection activeCell="I27" sqref="I27"/>
    </sheetView>
  </sheetViews>
  <sheetFormatPr defaultRowHeight="14.4" x14ac:dyDescent="0.3"/>
  <cols>
    <col min="1" max="2" width="17.296875" style="2" customWidth="1"/>
    <col min="3" max="3" width="17.296875" customWidth="1"/>
    <col min="4" max="4" width="17.296875" style="4" customWidth="1"/>
    <col min="5" max="11" width="17.296875" customWidth="1"/>
    <col min="12" max="12" width="41.3984375" customWidth="1"/>
  </cols>
  <sheetData>
    <row r="1" spans="1:12" x14ac:dyDescent="0.3">
      <c r="A1" s="2" t="s">
        <v>97</v>
      </c>
      <c r="B1" s="2" t="s">
        <v>4</v>
      </c>
      <c r="C1" t="s">
        <v>98</v>
      </c>
      <c r="D1" s="4" t="s">
        <v>5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</row>
    <row r="2" spans="1:12" x14ac:dyDescent="0.3">
      <c r="A2" s="2" t="s">
        <v>107</v>
      </c>
      <c r="B2" s="2" t="s">
        <v>108</v>
      </c>
      <c r="C2" t="s">
        <v>177</v>
      </c>
      <c r="D2" s="4">
        <v>1</v>
      </c>
      <c r="E2" t="s">
        <v>110</v>
      </c>
      <c r="F2" t="s">
        <v>178</v>
      </c>
      <c r="G2" s="4">
        <v>12</v>
      </c>
      <c r="H2" t="s">
        <v>178</v>
      </c>
      <c r="J2" t="s">
        <v>113</v>
      </c>
      <c r="K2">
        <v>1</v>
      </c>
    </row>
    <row r="3" spans="1:12" x14ac:dyDescent="0.3">
      <c r="A3" s="2" t="s">
        <v>107</v>
      </c>
      <c r="B3" s="2" t="s">
        <v>108</v>
      </c>
      <c r="C3" t="s">
        <v>179</v>
      </c>
      <c r="D3" s="4">
        <v>1</v>
      </c>
      <c r="E3" t="s">
        <v>115</v>
      </c>
      <c r="F3" t="s">
        <v>178</v>
      </c>
      <c r="G3" s="4">
        <v>13</v>
      </c>
      <c r="H3" t="s">
        <v>178</v>
      </c>
      <c r="J3" t="s">
        <v>113</v>
      </c>
      <c r="K3">
        <v>1</v>
      </c>
    </row>
    <row r="4" spans="1:12" x14ac:dyDescent="0.3">
      <c r="A4" s="2" t="s">
        <v>107</v>
      </c>
      <c r="B4" s="2" t="s">
        <v>108</v>
      </c>
      <c r="C4" t="s">
        <v>136</v>
      </c>
      <c r="D4" s="4">
        <v>1</v>
      </c>
      <c r="E4" t="s">
        <v>115</v>
      </c>
      <c r="F4" t="s">
        <v>178</v>
      </c>
      <c r="G4" s="4">
        <v>14</v>
      </c>
      <c r="H4" t="s">
        <v>178</v>
      </c>
      <c r="J4" t="s">
        <v>113</v>
      </c>
      <c r="K4">
        <v>1</v>
      </c>
    </row>
    <row r="5" spans="1:12" x14ac:dyDescent="0.3">
      <c r="A5" s="2" t="s">
        <v>107</v>
      </c>
      <c r="B5" s="2" t="s">
        <v>108</v>
      </c>
      <c r="C5" t="s">
        <v>137</v>
      </c>
      <c r="D5" s="4">
        <v>1</v>
      </c>
      <c r="E5" t="s">
        <v>115</v>
      </c>
      <c r="F5" t="s">
        <v>178</v>
      </c>
      <c r="G5" s="4">
        <v>15</v>
      </c>
      <c r="H5" t="s">
        <v>178</v>
      </c>
      <c r="J5" t="s">
        <v>113</v>
      </c>
      <c r="K5">
        <v>1</v>
      </c>
    </row>
    <row r="6" spans="1:12" x14ac:dyDescent="0.3">
      <c r="A6" s="2" t="s">
        <v>107</v>
      </c>
      <c r="B6" s="2" t="s">
        <v>108</v>
      </c>
      <c r="C6" t="s">
        <v>138</v>
      </c>
      <c r="D6" s="4">
        <v>1</v>
      </c>
      <c r="F6" t="s">
        <v>180</v>
      </c>
      <c r="G6" s="4">
        <v>16</v>
      </c>
      <c r="H6" t="s">
        <v>180</v>
      </c>
      <c r="K6">
        <v>1</v>
      </c>
    </row>
    <row r="7" spans="1:12" x14ac:dyDescent="0.3">
      <c r="A7" s="2" t="s">
        <v>107</v>
      </c>
      <c r="B7" s="2" t="s">
        <v>108</v>
      </c>
      <c r="C7" t="s">
        <v>140</v>
      </c>
      <c r="D7" s="4">
        <v>1</v>
      </c>
      <c r="E7" t="s">
        <v>115</v>
      </c>
      <c r="F7" t="s">
        <v>178</v>
      </c>
      <c r="G7" s="4">
        <v>17</v>
      </c>
      <c r="H7" t="s">
        <v>178</v>
      </c>
      <c r="J7" t="s">
        <v>113</v>
      </c>
      <c r="K7">
        <v>1</v>
      </c>
    </row>
    <row r="8" spans="1:12" x14ac:dyDescent="0.3">
      <c r="A8" s="2" t="s">
        <v>107</v>
      </c>
      <c r="B8" s="2" t="s">
        <v>108</v>
      </c>
      <c r="C8" t="s">
        <v>141</v>
      </c>
      <c r="D8" s="4">
        <v>1</v>
      </c>
      <c r="E8" t="s">
        <v>110</v>
      </c>
      <c r="F8" t="s">
        <v>178</v>
      </c>
      <c r="G8" s="4">
        <v>18</v>
      </c>
      <c r="H8" t="s">
        <v>178</v>
      </c>
      <c r="J8" t="s">
        <v>113</v>
      </c>
      <c r="K8">
        <v>1</v>
      </c>
    </row>
    <row r="9" spans="1:12" x14ac:dyDescent="0.3">
      <c r="A9" s="2" t="s">
        <v>107</v>
      </c>
      <c r="B9" s="2" t="s">
        <v>108</v>
      </c>
      <c r="C9" t="s">
        <v>142</v>
      </c>
      <c r="D9" s="4">
        <v>1</v>
      </c>
      <c r="E9" t="s">
        <v>115</v>
      </c>
      <c r="F9" t="s">
        <v>178</v>
      </c>
      <c r="G9" s="4">
        <v>19</v>
      </c>
      <c r="H9" t="s">
        <v>178</v>
      </c>
      <c r="J9" t="s">
        <v>113</v>
      </c>
      <c r="K9">
        <v>1</v>
      </c>
    </row>
    <row r="10" spans="1:12" x14ac:dyDescent="0.3">
      <c r="A10" s="2" t="s">
        <v>107</v>
      </c>
      <c r="B10" s="2" t="s">
        <v>108</v>
      </c>
      <c r="C10" t="s">
        <v>143</v>
      </c>
      <c r="D10" s="4">
        <v>1</v>
      </c>
      <c r="E10" t="s">
        <v>110</v>
      </c>
      <c r="F10" t="s">
        <v>178</v>
      </c>
      <c r="G10" s="4">
        <v>20</v>
      </c>
      <c r="H10" t="s">
        <v>178</v>
      </c>
      <c r="J10" t="s">
        <v>113</v>
      </c>
      <c r="K10">
        <v>1</v>
      </c>
    </row>
    <row r="11" spans="1:12" x14ac:dyDescent="0.3">
      <c r="A11" s="2" t="s">
        <v>107</v>
      </c>
      <c r="B11" s="2" t="s">
        <v>108</v>
      </c>
      <c r="C11" t="s">
        <v>144</v>
      </c>
      <c r="D11" s="4">
        <v>1</v>
      </c>
      <c r="E11" t="s">
        <v>115</v>
      </c>
      <c r="F11" t="s">
        <v>178</v>
      </c>
      <c r="G11" s="4">
        <v>21</v>
      </c>
      <c r="H11" t="s">
        <v>178</v>
      </c>
      <c r="J11" t="s">
        <v>113</v>
      </c>
      <c r="K11">
        <v>1</v>
      </c>
    </row>
    <row r="12" spans="1:12" x14ac:dyDescent="0.3">
      <c r="A12" s="2" t="s">
        <v>107</v>
      </c>
      <c r="B12" s="2" t="s">
        <v>108</v>
      </c>
      <c r="C12" t="s">
        <v>145</v>
      </c>
      <c r="D12" s="4">
        <v>1</v>
      </c>
      <c r="E12" t="s">
        <v>115</v>
      </c>
      <c r="F12" t="s">
        <v>178</v>
      </c>
      <c r="G12" s="4">
        <v>22</v>
      </c>
      <c r="H12" t="s">
        <v>178</v>
      </c>
      <c r="J12" t="s">
        <v>113</v>
      </c>
      <c r="K12">
        <v>1</v>
      </c>
    </row>
    <row r="13" spans="1:12" x14ac:dyDescent="0.3">
      <c r="A13" s="2" t="s">
        <v>107</v>
      </c>
      <c r="B13" s="2" t="s">
        <v>108</v>
      </c>
      <c r="C13" t="s">
        <v>146</v>
      </c>
      <c r="D13" s="4">
        <v>1</v>
      </c>
      <c r="E13" t="s">
        <v>115</v>
      </c>
      <c r="F13" t="s">
        <v>178</v>
      </c>
      <c r="G13" s="4">
        <v>23</v>
      </c>
      <c r="H13" t="s">
        <v>178</v>
      </c>
      <c r="J13" t="s">
        <v>113</v>
      </c>
      <c r="K13">
        <v>1</v>
      </c>
    </row>
    <row r="14" spans="1:12" x14ac:dyDescent="0.3">
      <c r="A14" s="2" t="s">
        <v>126</v>
      </c>
      <c r="B14" s="2" t="s">
        <v>108</v>
      </c>
      <c r="C14" t="s">
        <v>177</v>
      </c>
      <c r="D14" s="4">
        <v>2</v>
      </c>
      <c r="E14" t="s">
        <v>110</v>
      </c>
      <c r="F14" t="s">
        <v>178</v>
      </c>
      <c r="G14" s="4">
        <v>11</v>
      </c>
      <c r="H14" t="s">
        <v>178</v>
      </c>
      <c r="J14" t="s">
        <v>113</v>
      </c>
      <c r="K14">
        <v>1</v>
      </c>
    </row>
    <row r="15" spans="1:12" x14ac:dyDescent="0.3">
      <c r="A15" s="2" t="s">
        <v>126</v>
      </c>
      <c r="B15" s="2" t="s">
        <v>108</v>
      </c>
      <c r="C15" t="s">
        <v>179</v>
      </c>
      <c r="D15" s="4">
        <v>2</v>
      </c>
      <c r="E15" t="s">
        <v>115</v>
      </c>
      <c r="F15" t="s">
        <v>178</v>
      </c>
      <c r="G15" s="4">
        <v>12</v>
      </c>
      <c r="H15" t="s">
        <v>178</v>
      </c>
      <c r="J15" t="s">
        <v>113</v>
      </c>
      <c r="K15">
        <v>1</v>
      </c>
    </row>
    <row r="16" spans="1:12" x14ac:dyDescent="0.3">
      <c r="A16" s="2" t="s">
        <v>126</v>
      </c>
      <c r="B16" s="2" t="s">
        <v>108</v>
      </c>
      <c r="C16" t="s">
        <v>136</v>
      </c>
      <c r="D16" s="4">
        <v>2</v>
      </c>
      <c r="E16" t="s">
        <v>110</v>
      </c>
      <c r="F16" t="s">
        <v>178</v>
      </c>
      <c r="G16" s="4">
        <v>13</v>
      </c>
      <c r="H16" t="s">
        <v>178</v>
      </c>
      <c r="J16" t="s">
        <v>113</v>
      </c>
      <c r="K16">
        <v>1</v>
      </c>
    </row>
    <row r="17" spans="1:12" x14ac:dyDescent="0.3">
      <c r="A17" s="2" t="s">
        <v>126</v>
      </c>
      <c r="B17" s="2" t="s">
        <v>108</v>
      </c>
      <c r="C17" t="s">
        <v>137</v>
      </c>
      <c r="D17" s="4">
        <v>2</v>
      </c>
      <c r="E17" t="s">
        <v>115</v>
      </c>
      <c r="F17" t="s">
        <v>178</v>
      </c>
      <c r="G17" s="4">
        <v>14</v>
      </c>
      <c r="H17" t="s">
        <v>178</v>
      </c>
      <c r="J17" t="s">
        <v>113</v>
      </c>
      <c r="K17">
        <v>1</v>
      </c>
    </row>
    <row r="18" spans="1:12" x14ac:dyDescent="0.3">
      <c r="A18" s="2" t="s">
        <v>126</v>
      </c>
      <c r="B18" s="2" t="s">
        <v>108</v>
      </c>
      <c r="C18" t="s">
        <v>138</v>
      </c>
      <c r="D18" s="4">
        <v>2</v>
      </c>
      <c r="E18" t="s">
        <v>115</v>
      </c>
      <c r="F18" t="s">
        <v>178</v>
      </c>
      <c r="G18" s="4">
        <v>15</v>
      </c>
      <c r="H18" t="s">
        <v>178</v>
      </c>
      <c r="J18" t="s">
        <v>113</v>
      </c>
      <c r="K18">
        <v>1</v>
      </c>
    </row>
    <row r="19" spans="1:12" x14ac:dyDescent="0.3">
      <c r="A19" s="2" t="s">
        <v>126</v>
      </c>
      <c r="B19" s="2" t="s">
        <v>108</v>
      </c>
      <c r="C19" t="s">
        <v>140</v>
      </c>
      <c r="D19" s="4">
        <v>2</v>
      </c>
      <c r="E19" t="s">
        <v>115</v>
      </c>
      <c r="F19" t="s">
        <v>178</v>
      </c>
      <c r="G19" s="4">
        <v>16</v>
      </c>
      <c r="H19" t="s">
        <v>178</v>
      </c>
      <c r="J19" t="s">
        <v>113</v>
      </c>
      <c r="K19">
        <v>1</v>
      </c>
    </row>
    <row r="20" spans="1:12" x14ac:dyDescent="0.3">
      <c r="A20" s="2" t="s">
        <v>126</v>
      </c>
      <c r="B20" s="2" t="s">
        <v>108</v>
      </c>
      <c r="C20" t="s">
        <v>141</v>
      </c>
      <c r="D20" s="4">
        <v>2</v>
      </c>
      <c r="E20" t="s">
        <v>110</v>
      </c>
      <c r="F20" t="s">
        <v>178</v>
      </c>
      <c r="G20" s="4">
        <v>17</v>
      </c>
      <c r="H20" t="s">
        <v>178</v>
      </c>
      <c r="J20" t="s">
        <v>113</v>
      </c>
      <c r="K20">
        <v>1</v>
      </c>
    </row>
    <row r="21" spans="1:12" x14ac:dyDescent="0.3">
      <c r="A21" s="2" t="s">
        <v>126</v>
      </c>
      <c r="B21" s="2" t="s">
        <v>108</v>
      </c>
      <c r="C21" t="s">
        <v>142</v>
      </c>
      <c r="D21" s="4">
        <v>2</v>
      </c>
      <c r="E21" t="s">
        <v>115</v>
      </c>
      <c r="F21" t="s">
        <v>178</v>
      </c>
      <c r="G21" s="4">
        <v>18</v>
      </c>
      <c r="H21" t="s">
        <v>178</v>
      </c>
      <c r="J21" t="s">
        <v>111</v>
      </c>
      <c r="K21">
        <v>1</v>
      </c>
      <c r="L21" s="27" t="s">
        <v>181</v>
      </c>
    </row>
    <row r="22" spans="1:12" x14ac:dyDescent="0.3">
      <c r="A22" s="2" t="s">
        <v>126</v>
      </c>
      <c r="B22" s="2" t="s">
        <v>108</v>
      </c>
      <c r="C22" t="s">
        <v>143</v>
      </c>
      <c r="D22" s="4">
        <v>2</v>
      </c>
      <c r="E22" t="s">
        <v>110</v>
      </c>
      <c r="F22" t="s">
        <v>178</v>
      </c>
      <c r="G22" s="4">
        <v>19</v>
      </c>
      <c r="H22" t="s">
        <v>178</v>
      </c>
      <c r="J22" t="s">
        <v>113</v>
      </c>
      <c r="K22">
        <v>1</v>
      </c>
    </row>
    <row r="23" spans="1:12" x14ac:dyDescent="0.3">
      <c r="A23" s="2" t="s">
        <v>126</v>
      </c>
      <c r="B23" s="2" t="s">
        <v>108</v>
      </c>
      <c r="C23" t="s">
        <v>144</v>
      </c>
      <c r="D23" s="4">
        <v>2</v>
      </c>
      <c r="E23" t="s">
        <v>115</v>
      </c>
      <c r="F23" t="s">
        <v>178</v>
      </c>
      <c r="G23" s="4">
        <v>20</v>
      </c>
      <c r="H23" t="s">
        <v>178</v>
      </c>
      <c r="J23" t="s">
        <v>113</v>
      </c>
      <c r="K23">
        <v>1</v>
      </c>
    </row>
    <row r="24" spans="1:12" x14ac:dyDescent="0.3">
      <c r="A24" s="2" t="s">
        <v>126</v>
      </c>
      <c r="B24" s="2" t="s">
        <v>108</v>
      </c>
      <c r="C24" t="s">
        <v>145</v>
      </c>
      <c r="D24" s="4">
        <v>2</v>
      </c>
      <c r="E24" t="s">
        <v>115</v>
      </c>
      <c r="F24" t="s">
        <v>178</v>
      </c>
      <c r="G24" s="4">
        <v>21</v>
      </c>
      <c r="H24" t="s">
        <v>178</v>
      </c>
      <c r="J24" t="s">
        <v>113</v>
      </c>
      <c r="K24">
        <v>1</v>
      </c>
    </row>
    <row r="25" spans="1:12" x14ac:dyDescent="0.3">
      <c r="A25" s="2" t="s">
        <v>126</v>
      </c>
      <c r="B25" s="2" t="s">
        <v>108</v>
      </c>
      <c r="C25" t="s">
        <v>146</v>
      </c>
      <c r="D25" s="4">
        <v>2</v>
      </c>
      <c r="E25" t="s">
        <v>115</v>
      </c>
      <c r="F25" t="s">
        <v>178</v>
      </c>
      <c r="G25" s="4">
        <v>22</v>
      </c>
      <c r="H25" t="s">
        <v>178</v>
      </c>
      <c r="J25" t="s">
        <v>113</v>
      </c>
      <c r="K25">
        <v>1</v>
      </c>
    </row>
    <row r="26" spans="1:12" x14ac:dyDescent="0.3">
      <c r="A26" s="2" t="s">
        <v>153</v>
      </c>
      <c r="B26" s="2" t="s">
        <v>108</v>
      </c>
      <c r="C26" t="s">
        <v>182</v>
      </c>
      <c r="D26" s="4">
        <v>2</v>
      </c>
      <c r="E26" t="s">
        <v>110</v>
      </c>
      <c r="F26" t="s">
        <v>178</v>
      </c>
      <c r="G26" s="4">
        <v>23</v>
      </c>
      <c r="H26" t="s">
        <v>178</v>
      </c>
      <c r="J26" t="s">
        <v>111</v>
      </c>
      <c r="K26">
        <v>1</v>
      </c>
      <c r="L26" t="s">
        <v>183</v>
      </c>
    </row>
    <row r="27" spans="1:12" x14ac:dyDescent="0.3">
      <c r="A27" s="2" t="s">
        <v>153</v>
      </c>
      <c r="B27" s="2" t="s">
        <v>108</v>
      </c>
      <c r="C27" t="s">
        <v>184</v>
      </c>
      <c r="D27" s="4">
        <v>2</v>
      </c>
      <c r="E27" t="s">
        <v>115</v>
      </c>
      <c r="F27" t="s">
        <v>178</v>
      </c>
      <c r="G27" s="4">
        <f>G26+1</f>
        <v>24</v>
      </c>
      <c r="H27" t="s">
        <v>178</v>
      </c>
      <c r="J27" t="s">
        <v>111</v>
      </c>
      <c r="K27">
        <v>1</v>
      </c>
      <c r="L27" t="s">
        <v>185</v>
      </c>
    </row>
    <row r="28" spans="1:12" x14ac:dyDescent="0.3">
      <c r="A28" s="2" t="s">
        <v>153</v>
      </c>
      <c r="B28" s="2" t="s">
        <v>108</v>
      </c>
      <c r="C28" t="s">
        <v>186</v>
      </c>
      <c r="D28" s="4">
        <v>2</v>
      </c>
      <c r="E28" t="s">
        <v>110</v>
      </c>
      <c r="F28" t="s">
        <v>178</v>
      </c>
      <c r="G28" s="4">
        <f t="shared" ref="G28:G37" si="0">G27+1</f>
        <v>25</v>
      </c>
      <c r="H28" t="s">
        <v>178</v>
      </c>
      <c r="J28" t="s">
        <v>111</v>
      </c>
      <c r="K28">
        <v>1</v>
      </c>
    </row>
    <row r="29" spans="1:12" x14ac:dyDescent="0.3">
      <c r="A29" s="2" t="s">
        <v>153</v>
      </c>
      <c r="B29" s="2" t="s">
        <v>108</v>
      </c>
      <c r="C29" t="s">
        <v>187</v>
      </c>
      <c r="D29" s="4">
        <v>2</v>
      </c>
      <c r="E29" t="s">
        <v>110</v>
      </c>
      <c r="F29" t="s">
        <v>178</v>
      </c>
      <c r="G29" s="4">
        <f t="shared" si="0"/>
        <v>26</v>
      </c>
      <c r="H29" t="s">
        <v>178</v>
      </c>
      <c r="J29" t="s">
        <v>111</v>
      </c>
      <c r="K29">
        <v>1</v>
      </c>
      <c r="L29" t="s">
        <v>188</v>
      </c>
    </row>
    <row r="30" spans="1:12" x14ac:dyDescent="0.3">
      <c r="A30" s="2" t="s">
        <v>153</v>
      </c>
      <c r="B30" s="2" t="s">
        <v>108</v>
      </c>
      <c r="C30" t="s">
        <v>189</v>
      </c>
      <c r="D30" s="4">
        <v>2</v>
      </c>
      <c r="E30" t="s">
        <v>115</v>
      </c>
      <c r="F30" t="s">
        <v>178</v>
      </c>
      <c r="G30" s="4">
        <f t="shared" si="0"/>
        <v>27</v>
      </c>
      <c r="H30" t="s">
        <v>178</v>
      </c>
      <c r="K30">
        <v>1</v>
      </c>
      <c r="L30" t="s">
        <v>156</v>
      </c>
    </row>
    <row r="31" spans="1:12" x14ac:dyDescent="0.3">
      <c r="A31" s="2" t="s">
        <v>153</v>
      </c>
      <c r="B31" s="2" t="s">
        <v>108</v>
      </c>
      <c r="C31" t="s">
        <v>190</v>
      </c>
      <c r="D31" s="4">
        <v>2</v>
      </c>
      <c r="E31" t="s">
        <v>115</v>
      </c>
      <c r="F31" t="s">
        <v>178</v>
      </c>
      <c r="G31" s="4">
        <f t="shared" si="0"/>
        <v>28</v>
      </c>
      <c r="H31" t="s">
        <v>178</v>
      </c>
      <c r="J31" t="s">
        <v>111</v>
      </c>
      <c r="K31">
        <v>1</v>
      </c>
    </row>
    <row r="32" spans="1:12" x14ac:dyDescent="0.3">
      <c r="A32" s="2" t="s">
        <v>153</v>
      </c>
      <c r="B32" s="2" t="s">
        <v>108</v>
      </c>
      <c r="C32" t="s">
        <v>191</v>
      </c>
      <c r="D32" s="4">
        <v>2</v>
      </c>
      <c r="E32" t="s">
        <v>110</v>
      </c>
      <c r="F32" t="s">
        <v>178</v>
      </c>
      <c r="G32" s="4">
        <f t="shared" si="0"/>
        <v>29</v>
      </c>
      <c r="H32" t="s">
        <v>178</v>
      </c>
      <c r="J32" t="s">
        <v>111</v>
      </c>
      <c r="K32">
        <v>1</v>
      </c>
    </row>
    <row r="33" spans="1:12" x14ac:dyDescent="0.3">
      <c r="A33" s="2" t="s">
        <v>153</v>
      </c>
      <c r="B33" s="2" t="s">
        <v>108</v>
      </c>
      <c r="C33" t="s">
        <v>192</v>
      </c>
      <c r="D33" s="4">
        <v>2</v>
      </c>
      <c r="E33" t="s">
        <v>110</v>
      </c>
      <c r="F33" t="s">
        <v>178</v>
      </c>
      <c r="G33" s="4">
        <f t="shared" si="0"/>
        <v>30</v>
      </c>
      <c r="H33" t="s">
        <v>178</v>
      </c>
      <c r="J33" t="s">
        <v>111</v>
      </c>
      <c r="K33">
        <v>1</v>
      </c>
    </row>
    <row r="34" spans="1:12" x14ac:dyDescent="0.3">
      <c r="A34" s="2" t="s">
        <v>153</v>
      </c>
      <c r="B34" s="2" t="s">
        <v>108</v>
      </c>
      <c r="C34" t="s">
        <v>193</v>
      </c>
      <c r="D34" s="4">
        <v>2</v>
      </c>
      <c r="E34" t="s">
        <v>115</v>
      </c>
      <c r="F34" t="s">
        <v>178</v>
      </c>
      <c r="G34" s="4">
        <f t="shared" si="0"/>
        <v>31</v>
      </c>
      <c r="H34" t="s">
        <v>178</v>
      </c>
      <c r="J34" t="s">
        <v>113</v>
      </c>
      <c r="K34">
        <v>1</v>
      </c>
    </row>
    <row r="35" spans="1:12" x14ac:dyDescent="0.3">
      <c r="A35" s="2" t="s">
        <v>153</v>
      </c>
      <c r="B35" s="2" t="s">
        <v>108</v>
      </c>
      <c r="C35" t="s">
        <v>194</v>
      </c>
      <c r="D35" s="4">
        <v>2</v>
      </c>
      <c r="E35" t="s">
        <v>115</v>
      </c>
      <c r="F35" t="s">
        <v>178</v>
      </c>
      <c r="G35" s="4">
        <f t="shared" si="0"/>
        <v>32</v>
      </c>
      <c r="H35" t="s">
        <v>178</v>
      </c>
      <c r="K35">
        <v>1</v>
      </c>
      <c r="L35" t="s">
        <v>156</v>
      </c>
    </row>
    <row r="36" spans="1:12" x14ac:dyDescent="0.3">
      <c r="A36" s="2" t="s">
        <v>153</v>
      </c>
      <c r="B36" s="2" t="s">
        <v>108</v>
      </c>
      <c r="C36" t="s">
        <v>195</v>
      </c>
      <c r="D36" s="4">
        <v>2</v>
      </c>
      <c r="E36" t="s">
        <v>110</v>
      </c>
      <c r="F36" t="s">
        <v>178</v>
      </c>
      <c r="G36" s="4">
        <f t="shared" si="0"/>
        <v>33</v>
      </c>
      <c r="H36" t="s">
        <v>178</v>
      </c>
      <c r="K36">
        <v>1</v>
      </c>
      <c r="L36" t="s">
        <v>156</v>
      </c>
    </row>
    <row r="37" spans="1:12" x14ac:dyDescent="0.3">
      <c r="A37" s="2" t="s">
        <v>153</v>
      </c>
      <c r="B37" s="2" t="s">
        <v>108</v>
      </c>
      <c r="C37" t="s">
        <v>196</v>
      </c>
      <c r="D37" s="4">
        <v>2</v>
      </c>
      <c r="E37" t="s">
        <v>115</v>
      </c>
      <c r="F37" t="s">
        <v>178</v>
      </c>
      <c r="G37" s="4">
        <f t="shared" si="0"/>
        <v>34</v>
      </c>
      <c r="H37" t="s">
        <v>178</v>
      </c>
      <c r="K37">
        <v>1</v>
      </c>
      <c r="L37" t="s">
        <v>156</v>
      </c>
    </row>
    <row r="38" spans="1:12" x14ac:dyDescent="0.3">
      <c r="A38" s="7" t="s">
        <v>153</v>
      </c>
      <c r="B38" s="7" t="s">
        <v>108</v>
      </c>
      <c r="C38" s="8" t="s">
        <v>197</v>
      </c>
      <c r="D38" s="9">
        <v>2</v>
      </c>
      <c r="E38" s="8" t="s">
        <v>115</v>
      </c>
      <c r="F38" s="8" t="s">
        <v>178</v>
      </c>
      <c r="G38" s="8" t="s">
        <v>198</v>
      </c>
      <c r="H38" s="8" t="s">
        <v>178</v>
      </c>
      <c r="I38" s="8"/>
      <c r="J38" s="8" t="s">
        <v>111</v>
      </c>
      <c r="K38" s="8">
        <v>1</v>
      </c>
      <c r="L38" s="8"/>
    </row>
    <row r="39" spans="1:12" x14ac:dyDescent="0.3">
      <c r="A39" s="7" t="s">
        <v>153</v>
      </c>
      <c r="B39" s="7" t="s">
        <v>108</v>
      </c>
      <c r="C39" s="8" t="s">
        <v>199</v>
      </c>
      <c r="D39" s="9">
        <v>2</v>
      </c>
      <c r="E39" s="8" t="s">
        <v>110</v>
      </c>
      <c r="F39" s="8" t="s">
        <v>178</v>
      </c>
      <c r="G39" s="8" t="s">
        <v>198</v>
      </c>
      <c r="H39" s="8" t="s">
        <v>178</v>
      </c>
      <c r="I39" s="8"/>
      <c r="J39" s="8" t="s">
        <v>111</v>
      </c>
      <c r="K39" s="8">
        <v>1</v>
      </c>
      <c r="L39" s="8"/>
    </row>
    <row r="40" spans="1:12" x14ac:dyDescent="0.3">
      <c r="A40" s="7" t="s">
        <v>153</v>
      </c>
      <c r="B40" s="7" t="s">
        <v>108</v>
      </c>
      <c r="C40" s="8" t="s">
        <v>200</v>
      </c>
      <c r="D40" s="9">
        <v>2</v>
      </c>
      <c r="E40" s="8" t="s">
        <v>115</v>
      </c>
      <c r="F40" s="8" t="s">
        <v>178</v>
      </c>
      <c r="G40" s="8" t="s">
        <v>198</v>
      </c>
      <c r="H40" s="8" t="s">
        <v>178</v>
      </c>
      <c r="I40" s="8"/>
      <c r="J40" s="8" t="s">
        <v>111</v>
      </c>
      <c r="K40" s="8">
        <v>1</v>
      </c>
      <c r="L40" s="8"/>
    </row>
    <row r="41" spans="1:12" x14ac:dyDescent="0.3">
      <c r="A41" s="7" t="s">
        <v>153</v>
      </c>
      <c r="B41" s="7" t="s">
        <v>108</v>
      </c>
      <c r="C41" s="8" t="s">
        <v>201</v>
      </c>
      <c r="D41" s="9">
        <v>2</v>
      </c>
      <c r="E41" s="8" t="s">
        <v>115</v>
      </c>
      <c r="F41" s="8" t="s">
        <v>178</v>
      </c>
      <c r="G41" s="8" t="s">
        <v>198</v>
      </c>
      <c r="H41" s="8" t="s">
        <v>178</v>
      </c>
      <c r="I41" s="8"/>
      <c r="J41" s="8" t="s">
        <v>111</v>
      </c>
      <c r="K41" s="8">
        <v>1</v>
      </c>
      <c r="L41" s="8"/>
    </row>
    <row r="42" spans="1:12" x14ac:dyDescent="0.3">
      <c r="A42" s="7" t="s">
        <v>153</v>
      </c>
      <c r="B42" s="7" t="s">
        <v>108</v>
      </c>
      <c r="C42" s="8" t="s">
        <v>202</v>
      </c>
      <c r="D42" s="9">
        <v>2</v>
      </c>
      <c r="E42" s="8" t="s">
        <v>115</v>
      </c>
      <c r="F42" s="8" t="s">
        <v>178</v>
      </c>
      <c r="G42" s="8" t="s">
        <v>198</v>
      </c>
      <c r="H42" s="8" t="s">
        <v>178</v>
      </c>
      <c r="I42" s="8"/>
      <c r="J42" s="8" t="s">
        <v>111</v>
      </c>
      <c r="K42" s="8">
        <v>1</v>
      </c>
      <c r="L42" s="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7E5E-3781-42ED-B41F-EED6CE7DB6CD}">
  <dimension ref="A1:L62"/>
  <sheetViews>
    <sheetView workbookViewId="0"/>
  </sheetViews>
  <sheetFormatPr defaultRowHeight="14.4" x14ac:dyDescent="0.3"/>
  <cols>
    <col min="1" max="1" width="17.296875" style="2" customWidth="1"/>
    <col min="2" max="2" width="17.296875" customWidth="1"/>
    <col min="3" max="3" width="17.296875" style="4" customWidth="1"/>
    <col min="4" max="10" width="17.296875" customWidth="1"/>
    <col min="11" max="11" width="41.3984375" customWidth="1"/>
  </cols>
  <sheetData>
    <row r="1" spans="1:12" x14ac:dyDescent="0.3">
      <c r="A1" s="2" t="s">
        <v>97</v>
      </c>
      <c r="B1" s="2" t="s">
        <v>4</v>
      </c>
      <c r="C1" t="s">
        <v>98</v>
      </c>
      <c r="D1" s="4" t="s">
        <v>5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</row>
    <row r="2" spans="1:12" x14ac:dyDescent="0.3">
      <c r="A2" s="2" t="s">
        <v>107</v>
      </c>
      <c r="B2" s="2" t="s">
        <v>135</v>
      </c>
      <c r="C2" t="s">
        <v>203</v>
      </c>
      <c r="D2" s="4">
        <v>1</v>
      </c>
      <c r="G2" s="4"/>
    </row>
    <row r="3" spans="1:12" x14ac:dyDescent="0.3">
      <c r="A3" s="2" t="s">
        <v>107</v>
      </c>
      <c r="B3" s="2" t="s">
        <v>135</v>
      </c>
      <c r="C3" t="s">
        <v>127</v>
      </c>
      <c r="D3" s="4">
        <v>1</v>
      </c>
      <c r="G3" s="4"/>
    </row>
    <row r="4" spans="1:12" x14ac:dyDescent="0.3">
      <c r="A4" s="2" t="s">
        <v>107</v>
      </c>
      <c r="B4" s="2" t="s">
        <v>135</v>
      </c>
      <c r="C4" t="s">
        <v>129</v>
      </c>
      <c r="D4" s="4">
        <v>1</v>
      </c>
      <c r="G4" s="4"/>
    </row>
    <row r="5" spans="1:12" x14ac:dyDescent="0.3">
      <c r="A5" s="2" t="s">
        <v>107</v>
      </c>
      <c r="B5" s="2" t="s">
        <v>135</v>
      </c>
      <c r="C5" t="s">
        <v>130</v>
      </c>
      <c r="D5" s="4">
        <v>1</v>
      </c>
      <c r="G5" s="4"/>
    </row>
    <row r="6" spans="1:12" x14ac:dyDescent="0.3">
      <c r="A6" s="2" t="s">
        <v>107</v>
      </c>
      <c r="B6" s="2" t="s">
        <v>135</v>
      </c>
      <c r="C6" t="s">
        <v>131</v>
      </c>
      <c r="D6" s="4">
        <v>1</v>
      </c>
      <c r="G6" s="4"/>
    </row>
    <row r="7" spans="1:12" x14ac:dyDescent="0.3">
      <c r="A7" s="2" t="s">
        <v>107</v>
      </c>
      <c r="B7" s="2" t="s">
        <v>135</v>
      </c>
      <c r="C7" t="s">
        <v>109</v>
      </c>
      <c r="D7" s="4">
        <v>1</v>
      </c>
      <c r="G7" s="4"/>
    </row>
    <row r="8" spans="1:12" x14ac:dyDescent="0.3">
      <c r="A8" s="2" t="s">
        <v>107</v>
      </c>
      <c r="B8" s="2" t="s">
        <v>135</v>
      </c>
      <c r="C8" t="s">
        <v>114</v>
      </c>
      <c r="D8" s="4">
        <v>1</v>
      </c>
      <c r="G8" s="4"/>
    </row>
    <row r="9" spans="1:12" x14ac:dyDescent="0.3">
      <c r="A9" s="2" t="s">
        <v>107</v>
      </c>
      <c r="B9" s="2" t="s">
        <v>135</v>
      </c>
      <c r="C9" t="s">
        <v>116</v>
      </c>
      <c r="D9" s="4">
        <v>1</v>
      </c>
      <c r="G9" s="4"/>
    </row>
    <row r="10" spans="1:12" x14ac:dyDescent="0.3">
      <c r="A10" s="2" t="s">
        <v>107</v>
      </c>
      <c r="B10" s="2" t="s">
        <v>135</v>
      </c>
      <c r="C10" t="s">
        <v>117</v>
      </c>
      <c r="D10" s="4">
        <v>1</v>
      </c>
      <c r="G10" s="4"/>
    </row>
    <row r="11" spans="1:12" x14ac:dyDescent="0.3">
      <c r="A11" s="2" t="s">
        <v>107</v>
      </c>
      <c r="B11" s="2" t="s">
        <v>135</v>
      </c>
      <c r="C11" t="s">
        <v>118</v>
      </c>
      <c r="D11" s="4">
        <v>1</v>
      </c>
      <c r="G11" s="4"/>
    </row>
    <row r="12" spans="1:12" x14ac:dyDescent="0.3">
      <c r="A12" s="2" t="s">
        <v>107</v>
      </c>
      <c r="B12" s="2" t="s">
        <v>135</v>
      </c>
      <c r="C12" t="s">
        <v>119</v>
      </c>
      <c r="D12" s="4">
        <v>1</v>
      </c>
      <c r="G12" s="4"/>
    </row>
    <row r="13" spans="1:12" x14ac:dyDescent="0.3">
      <c r="A13" s="2" t="s">
        <v>107</v>
      </c>
      <c r="B13" s="2" t="s">
        <v>135</v>
      </c>
      <c r="C13" t="s">
        <v>120</v>
      </c>
      <c r="D13" s="4">
        <v>1</v>
      </c>
      <c r="G13" s="4"/>
    </row>
    <row r="14" spans="1:12" x14ac:dyDescent="0.3">
      <c r="A14" s="2" t="s">
        <v>107</v>
      </c>
      <c r="B14" s="2" t="s">
        <v>135</v>
      </c>
      <c r="C14" t="s">
        <v>121</v>
      </c>
      <c r="D14" s="4">
        <v>1</v>
      </c>
      <c r="G14" s="4"/>
    </row>
    <row r="15" spans="1:12" x14ac:dyDescent="0.3">
      <c r="A15" s="2" t="s">
        <v>107</v>
      </c>
      <c r="B15" s="2" t="s">
        <v>135</v>
      </c>
      <c r="C15" t="s">
        <v>123</v>
      </c>
      <c r="D15" s="4">
        <v>1</v>
      </c>
      <c r="G15" s="4"/>
    </row>
    <row r="16" spans="1:12" x14ac:dyDescent="0.3">
      <c r="A16" s="2" t="s">
        <v>126</v>
      </c>
      <c r="B16" s="2" t="s">
        <v>135</v>
      </c>
      <c r="C16" t="s">
        <v>204</v>
      </c>
      <c r="D16" s="4">
        <v>1</v>
      </c>
      <c r="G16" s="4"/>
    </row>
    <row r="17" spans="1:12" x14ac:dyDescent="0.3">
      <c r="A17" s="2" t="s">
        <v>126</v>
      </c>
      <c r="B17" s="2" t="s">
        <v>135</v>
      </c>
      <c r="C17" t="s">
        <v>205</v>
      </c>
      <c r="D17" s="4">
        <v>1</v>
      </c>
      <c r="G17" s="4"/>
    </row>
    <row r="18" spans="1:12" x14ac:dyDescent="0.3">
      <c r="A18" s="2" t="s">
        <v>126</v>
      </c>
      <c r="B18" s="2" t="s">
        <v>135</v>
      </c>
      <c r="C18" t="s">
        <v>206</v>
      </c>
      <c r="D18" s="4">
        <v>1</v>
      </c>
      <c r="G18" s="4"/>
    </row>
    <row r="19" spans="1:12" x14ac:dyDescent="0.3">
      <c r="A19" s="2" t="s">
        <v>126</v>
      </c>
      <c r="B19" s="2" t="s">
        <v>135</v>
      </c>
      <c r="C19" t="s">
        <v>207</v>
      </c>
      <c r="D19" s="4">
        <v>1</v>
      </c>
      <c r="G19" s="4"/>
    </row>
    <row r="20" spans="1:12" x14ac:dyDescent="0.3">
      <c r="A20" s="2" t="s">
        <v>126</v>
      </c>
      <c r="B20" s="2" t="s">
        <v>135</v>
      </c>
      <c r="C20" t="s">
        <v>208</v>
      </c>
      <c r="D20" s="4">
        <v>1</v>
      </c>
      <c r="G20" s="4"/>
    </row>
    <row r="21" spans="1:12" x14ac:dyDescent="0.3">
      <c r="A21" s="2" t="s">
        <v>126</v>
      </c>
      <c r="B21" s="2" t="s">
        <v>135</v>
      </c>
      <c r="C21" t="s">
        <v>209</v>
      </c>
      <c r="D21" s="4">
        <v>1</v>
      </c>
      <c r="G21" s="4"/>
      <c r="L21" s="27"/>
    </row>
    <row r="22" spans="1:12" x14ac:dyDescent="0.3">
      <c r="A22" s="2" t="s">
        <v>126</v>
      </c>
      <c r="B22" s="2" t="s">
        <v>135</v>
      </c>
      <c r="C22" t="s">
        <v>182</v>
      </c>
      <c r="D22" s="4">
        <v>1</v>
      </c>
      <c r="G22" s="4"/>
    </row>
    <row r="23" spans="1:12" x14ac:dyDescent="0.3">
      <c r="A23" s="2" t="s">
        <v>126</v>
      </c>
      <c r="B23" s="2" t="s">
        <v>135</v>
      </c>
      <c r="C23" t="s">
        <v>184</v>
      </c>
      <c r="D23" s="4">
        <v>1</v>
      </c>
      <c r="G23" s="4"/>
    </row>
    <row r="24" spans="1:12" x14ac:dyDescent="0.3">
      <c r="A24" s="2" t="s">
        <v>126</v>
      </c>
      <c r="B24" s="2" t="s">
        <v>135</v>
      </c>
      <c r="C24" t="s">
        <v>186</v>
      </c>
      <c r="D24" s="4">
        <v>1</v>
      </c>
      <c r="G24" s="4"/>
    </row>
    <row r="25" spans="1:12" x14ac:dyDescent="0.3">
      <c r="A25" s="2" t="s">
        <v>126</v>
      </c>
      <c r="B25" s="2" t="s">
        <v>135</v>
      </c>
      <c r="C25" t="s">
        <v>187</v>
      </c>
      <c r="D25" s="4">
        <v>1</v>
      </c>
      <c r="G25" s="4"/>
    </row>
    <row r="26" spans="1:12" x14ac:dyDescent="0.3">
      <c r="A26" s="2" t="s">
        <v>126</v>
      </c>
      <c r="B26" s="2" t="s">
        <v>135</v>
      </c>
      <c r="C26" t="s">
        <v>189</v>
      </c>
      <c r="D26" s="4">
        <v>1</v>
      </c>
      <c r="G26" s="4"/>
    </row>
    <row r="27" spans="1:12" x14ac:dyDescent="0.3">
      <c r="A27" s="2" t="s">
        <v>126</v>
      </c>
      <c r="B27" s="2" t="s">
        <v>135</v>
      </c>
      <c r="C27" t="s">
        <v>190</v>
      </c>
      <c r="D27" s="4">
        <v>1</v>
      </c>
      <c r="G27" s="4"/>
    </row>
    <row r="28" spans="1:12" x14ac:dyDescent="0.3">
      <c r="A28" s="2" t="s">
        <v>126</v>
      </c>
      <c r="B28" s="2" t="s">
        <v>135</v>
      </c>
      <c r="C28" t="s">
        <v>191</v>
      </c>
      <c r="D28" s="4">
        <v>1</v>
      </c>
      <c r="G28" s="4"/>
    </row>
    <row r="29" spans="1:12" x14ac:dyDescent="0.3">
      <c r="A29" s="2" t="s">
        <v>126</v>
      </c>
      <c r="B29" s="2" t="s">
        <v>135</v>
      </c>
      <c r="C29" t="s">
        <v>192</v>
      </c>
      <c r="D29" s="4">
        <v>1</v>
      </c>
      <c r="G29" s="4"/>
    </row>
    <row r="30" spans="1:12" x14ac:dyDescent="0.3">
      <c r="A30" s="2" t="s">
        <v>126</v>
      </c>
      <c r="B30" s="2" t="s">
        <v>135</v>
      </c>
      <c r="C30" t="s">
        <v>193</v>
      </c>
      <c r="D30" s="4">
        <v>1</v>
      </c>
      <c r="G30" s="4"/>
    </row>
    <row r="31" spans="1:12" x14ac:dyDescent="0.3">
      <c r="A31" s="2" t="s">
        <v>126</v>
      </c>
      <c r="B31" s="2" t="s">
        <v>135</v>
      </c>
      <c r="C31" t="s">
        <v>194</v>
      </c>
      <c r="D31" s="4">
        <v>1</v>
      </c>
      <c r="G31" s="4"/>
    </row>
    <row r="32" spans="1:12" x14ac:dyDescent="0.3">
      <c r="A32" s="2" t="s">
        <v>134</v>
      </c>
      <c r="B32" s="2" t="s">
        <v>135</v>
      </c>
      <c r="C32" t="s">
        <v>195</v>
      </c>
      <c r="D32" s="4">
        <v>1</v>
      </c>
      <c r="G32" s="4"/>
    </row>
    <row r="33" spans="1:7" x14ac:dyDescent="0.3">
      <c r="A33" s="2" t="s">
        <v>134</v>
      </c>
      <c r="B33" s="2" t="s">
        <v>135</v>
      </c>
      <c r="C33" t="s">
        <v>196</v>
      </c>
      <c r="D33" s="4">
        <v>1</v>
      </c>
      <c r="G33" s="4"/>
    </row>
    <row r="34" spans="1:7" x14ac:dyDescent="0.3">
      <c r="A34" s="2" t="s">
        <v>134</v>
      </c>
      <c r="B34" s="2" t="s">
        <v>135</v>
      </c>
      <c r="C34" t="s">
        <v>210</v>
      </c>
      <c r="D34" s="4">
        <v>1</v>
      </c>
      <c r="G34" s="4"/>
    </row>
    <row r="35" spans="1:7" x14ac:dyDescent="0.3">
      <c r="A35" s="2" t="s">
        <v>134</v>
      </c>
      <c r="B35" s="2" t="s">
        <v>135</v>
      </c>
      <c r="C35" t="s">
        <v>197</v>
      </c>
      <c r="D35" s="4">
        <v>1</v>
      </c>
      <c r="G35" s="4"/>
    </row>
    <row r="36" spans="1:7" x14ac:dyDescent="0.3">
      <c r="A36" s="2" t="s">
        <v>134</v>
      </c>
      <c r="B36" s="2" t="s">
        <v>135</v>
      </c>
      <c r="C36" t="s">
        <v>199</v>
      </c>
      <c r="D36" s="4">
        <v>1</v>
      </c>
      <c r="G36" s="4"/>
    </row>
    <row r="37" spans="1:7" x14ac:dyDescent="0.3">
      <c r="A37" s="2" t="s">
        <v>134</v>
      </c>
      <c r="B37" s="2" t="s">
        <v>135</v>
      </c>
      <c r="C37" t="s">
        <v>211</v>
      </c>
      <c r="D37" s="4">
        <v>1</v>
      </c>
      <c r="G37" s="4"/>
    </row>
    <row r="38" spans="1:7" x14ac:dyDescent="0.3">
      <c r="A38" s="2" t="s">
        <v>134</v>
      </c>
      <c r="B38" s="2" t="s">
        <v>135</v>
      </c>
      <c r="C38" t="s">
        <v>200</v>
      </c>
      <c r="D38" s="4">
        <v>1</v>
      </c>
    </row>
    <row r="39" spans="1:7" x14ac:dyDescent="0.3">
      <c r="A39" s="2" t="s">
        <v>134</v>
      </c>
      <c r="B39" s="2" t="s">
        <v>135</v>
      </c>
      <c r="C39" t="s">
        <v>201</v>
      </c>
      <c r="D39" s="4">
        <v>1</v>
      </c>
    </row>
    <row r="40" spans="1:7" x14ac:dyDescent="0.3">
      <c r="A40" s="2" t="s">
        <v>134</v>
      </c>
      <c r="B40" s="2" t="s">
        <v>135</v>
      </c>
      <c r="C40" t="s">
        <v>202</v>
      </c>
      <c r="D40" s="4">
        <v>1</v>
      </c>
    </row>
    <row r="41" spans="1:7" x14ac:dyDescent="0.3">
      <c r="A41" s="2" t="s">
        <v>134</v>
      </c>
      <c r="B41" s="2" t="s">
        <v>135</v>
      </c>
      <c r="C41" t="s">
        <v>212</v>
      </c>
      <c r="D41" s="4">
        <v>1</v>
      </c>
    </row>
    <row r="42" spans="1:7" x14ac:dyDescent="0.3">
      <c r="A42" s="2" t="s">
        <v>134</v>
      </c>
      <c r="B42" s="2" t="s">
        <v>135</v>
      </c>
      <c r="C42" t="s">
        <v>213</v>
      </c>
      <c r="D42" s="4">
        <v>1</v>
      </c>
    </row>
    <row r="43" spans="1:7" x14ac:dyDescent="0.3">
      <c r="A43" s="2" t="s">
        <v>134</v>
      </c>
      <c r="B43" s="2" t="s">
        <v>135</v>
      </c>
      <c r="C43" t="s">
        <v>214</v>
      </c>
      <c r="D43" s="4">
        <v>1</v>
      </c>
    </row>
    <row r="44" spans="1:7" x14ac:dyDescent="0.3">
      <c r="A44" s="2" t="s">
        <v>134</v>
      </c>
      <c r="B44" s="2" t="s">
        <v>135</v>
      </c>
      <c r="C44" t="s">
        <v>215</v>
      </c>
      <c r="D44" s="4">
        <v>1</v>
      </c>
    </row>
    <row r="45" spans="1:7" x14ac:dyDescent="0.3">
      <c r="A45" s="2" t="s">
        <v>134</v>
      </c>
      <c r="B45" s="2" t="s">
        <v>135</v>
      </c>
      <c r="C45" t="s">
        <v>216</v>
      </c>
      <c r="D45" s="4">
        <v>1</v>
      </c>
    </row>
    <row r="46" spans="1:7" x14ac:dyDescent="0.3">
      <c r="A46" s="2" t="s">
        <v>134</v>
      </c>
      <c r="B46" s="2" t="s">
        <v>135</v>
      </c>
      <c r="C46" s="4" t="s">
        <v>154</v>
      </c>
      <c r="D46" s="4">
        <v>1</v>
      </c>
    </row>
    <row r="47" spans="1:7" x14ac:dyDescent="0.3">
      <c r="A47" s="2" t="s">
        <v>153</v>
      </c>
      <c r="B47" s="2" t="s">
        <v>135</v>
      </c>
      <c r="C47" s="4" t="s">
        <v>157</v>
      </c>
      <c r="D47" s="4">
        <v>1</v>
      </c>
    </row>
    <row r="48" spans="1:7" x14ac:dyDescent="0.3">
      <c r="A48" s="2" t="s">
        <v>153</v>
      </c>
      <c r="B48" s="2" t="s">
        <v>135</v>
      </c>
      <c r="C48" s="4" t="s">
        <v>158</v>
      </c>
      <c r="D48" s="4">
        <v>1</v>
      </c>
    </row>
    <row r="49" spans="1:4" x14ac:dyDescent="0.3">
      <c r="A49" s="2" t="s">
        <v>153</v>
      </c>
      <c r="B49" s="2" t="s">
        <v>135</v>
      </c>
      <c r="C49" s="4" t="s">
        <v>159</v>
      </c>
      <c r="D49" s="4">
        <v>1</v>
      </c>
    </row>
    <row r="50" spans="1:4" x14ac:dyDescent="0.3">
      <c r="A50" s="2" t="s">
        <v>153</v>
      </c>
      <c r="B50" s="2" t="s">
        <v>135</v>
      </c>
      <c r="C50" s="4" t="s">
        <v>160</v>
      </c>
      <c r="D50" s="4">
        <v>1</v>
      </c>
    </row>
    <row r="51" spans="1:4" x14ac:dyDescent="0.3">
      <c r="A51" s="2" t="s">
        <v>153</v>
      </c>
      <c r="B51" s="2" t="s">
        <v>135</v>
      </c>
      <c r="C51" s="4" t="s">
        <v>161</v>
      </c>
      <c r="D51" s="4">
        <v>1</v>
      </c>
    </row>
    <row r="52" spans="1:4" x14ac:dyDescent="0.3">
      <c r="A52" s="2" t="s">
        <v>153</v>
      </c>
      <c r="B52" s="2" t="s">
        <v>135</v>
      </c>
      <c r="C52" s="4" t="s">
        <v>162</v>
      </c>
      <c r="D52" s="4">
        <v>1</v>
      </c>
    </row>
    <row r="53" spans="1:4" x14ac:dyDescent="0.3">
      <c r="A53" s="2" t="s">
        <v>153</v>
      </c>
      <c r="B53" s="2" t="s">
        <v>135</v>
      </c>
      <c r="C53" s="4" t="s">
        <v>163</v>
      </c>
      <c r="D53" s="4">
        <v>1</v>
      </c>
    </row>
    <row r="54" spans="1:4" x14ac:dyDescent="0.3">
      <c r="A54" s="2" t="s">
        <v>153</v>
      </c>
      <c r="B54" s="2" t="s">
        <v>135</v>
      </c>
      <c r="C54" s="4" t="s">
        <v>164</v>
      </c>
      <c r="D54" s="4">
        <v>1</v>
      </c>
    </row>
    <row r="55" spans="1:4" x14ac:dyDescent="0.3">
      <c r="A55" s="2" t="s">
        <v>153</v>
      </c>
      <c r="B55" s="2" t="s">
        <v>135</v>
      </c>
      <c r="C55" s="4" t="s">
        <v>165</v>
      </c>
      <c r="D55" s="4">
        <v>1</v>
      </c>
    </row>
    <row r="56" spans="1:4" x14ac:dyDescent="0.3">
      <c r="A56" s="2" t="s">
        <v>153</v>
      </c>
      <c r="B56" s="2" t="s">
        <v>135</v>
      </c>
      <c r="C56" s="4" t="s">
        <v>166</v>
      </c>
      <c r="D56" s="4">
        <v>1</v>
      </c>
    </row>
    <row r="57" spans="1:4" x14ac:dyDescent="0.3">
      <c r="A57" s="2" t="s">
        <v>153</v>
      </c>
      <c r="B57" s="2" t="s">
        <v>135</v>
      </c>
      <c r="C57" s="4" t="s">
        <v>167</v>
      </c>
      <c r="D57" s="4">
        <v>1</v>
      </c>
    </row>
    <row r="58" spans="1:4" x14ac:dyDescent="0.3">
      <c r="A58" s="2" t="s">
        <v>153</v>
      </c>
      <c r="B58" s="2" t="s">
        <v>135</v>
      </c>
      <c r="C58" s="4" t="s">
        <v>168</v>
      </c>
      <c r="D58" s="4">
        <v>1</v>
      </c>
    </row>
    <row r="59" spans="1:4" x14ac:dyDescent="0.3">
      <c r="A59" s="2" t="s">
        <v>153</v>
      </c>
      <c r="B59" s="2" t="s">
        <v>135</v>
      </c>
      <c r="C59" s="4" t="s">
        <v>217</v>
      </c>
      <c r="D59" s="4">
        <v>1</v>
      </c>
    </row>
    <row r="60" spans="1:4" x14ac:dyDescent="0.3">
      <c r="A60" s="2" t="s">
        <v>153</v>
      </c>
      <c r="B60" s="2" t="s">
        <v>135</v>
      </c>
      <c r="C60" s="4" t="s">
        <v>170</v>
      </c>
      <c r="D60" s="4">
        <v>1</v>
      </c>
    </row>
    <row r="61" spans="1:4" x14ac:dyDescent="0.3">
      <c r="A61" s="2" t="s">
        <v>153</v>
      </c>
      <c r="B61" s="2" t="s">
        <v>135</v>
      </c>
      <c r="C61" s="4" t="s">
        <v>171</v>
      </c>
      <c r="D61" s="4">
        <v>1</v>
      </c>
    </row>
    <row r="62" spans="1:4" x14ac:dyDescent="0.3">
      <c r="A62" s="2" t="s">
        <v>153</v>
      </c>
      <c r="B62" s="2" t="s">
        <v>135</v>
      </c>
      <c r="C62" s="4" t="s">
        <v>172</v>
      </c>
      <c r="D62" s="4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6B07-235B-4757-933C-88865BFFF1D4}">
  <dimension ref="A1:K49"/>
  <sheetViews>
    <sheetView workbookViewId="0"/>
  </sheetViews>
  <sheetFormatPr defaultRowHeight="14.95" customHeight="1" x14ac:dyDescent="0.3"/>
  <cols>
    <col min="1" max="1" width="17.296875" style="2" customWidth="1"/>
    <col min="2" max="3" width="17.296875" customWidth="1"/>
    <col min="4" max="4" width="4" customWidth="1"/>
    <col min="5" max="6" width="17.296875" customWidth="1"/>
    <col min="7" max="7" width="7" customWidth="1"/>
    <col min="8" max="10" width="17.296875" customWidth="1"/>
    <col min="11" max="11" width="35.3984375" customWidth="1"/>
    <col min="16383" max="16383" width="8.8984375" bestFit="1" customWidth="1"/>
    <col min="16384" max="16384" width="8.8984375" customWidth="1"/>
  </cols>
  <sheetData>
    <row r="1" spans="1:11" ht="14.4" x14ac:dyDescent="0.3">
      <c r="A1" s="2" t="s">
        <v>97</v>
      </c>
      <c r="B1" s="2" t="s">
        <v>4</v>
      </c>
      <c r="C1" t="s">
        <v>98</v>
      </c>
      <c r="D1" t="s">
        <v>5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</row>
    <row r="2" spans="1:11" ht="14.4" x14ac:dyDescent="0.3">
      <c r="A2" s="2" t="s">
        <v>107</v>
      </c>
      <c r="B2" s="2" t="s">
        <v>108</v>
      </c>
      <c r="C2" t="s">
        <v>182</v>
      </c>
      <c r="D2">
        <v>1</v>
      </c>
      <c r="E2" t="s">
        <v>115</v>
      </c>
      <c r="F2" t="s">
        <v>178</v>
      </c>
      <c r="G2">
        <v>24</v>
      </c>
      <c r="H2" t="s">
        <v>178</v>
      </c>
      <c r="J2" t="s">
        <v>178</v>
      </c>
      <c r="K2" t="s">
        <v>218</v>
      </c>
    </row>
    <row r="3" spans="1:11" ht="14.4" x14ac:dyDescent="0.3">
      <c r="A3" s="2" t="s">
        <v>107</v>
      </c>
      <c r="B3" s="2" t="s">
        <v>108</v>
      </c>
      <c r="C3" t="s">
        <v>184</v>
      </c>
      <c r="D3">
        <v>1</v>
      </c>
      <c r="E3" t="s">
        <v>115</v>
      </c>
      <c r="F3" t="s">
        <v>178</v>
      </c>
      <c r="G3">
        <v>25</v>
      </c>
      <c r="H3" t="s">
        <v>178</v>
      </c>
      <c r="J3" t="s">
        <v>178</v>
      </c>
    </row>
    <row r="4" spans="1:11" ht="14.4" x14ac:dyDescent="0.3">
      <c r="A4" s="2" t="s">
        <v>107</v>
      </c>
      <c r="B4" s="2" t="s">
        <v>108</v>
      </c>
      <c r="C4" t="s">
        <v>186</v>
      </c>
      <c r="D4">
        <v>1</v>
      </c>
      <c r="E4" t="s">
        <v>110</v>
      </c>
      <c r="F4" t="s">
        <v>178</v>
      </c>
      <c r="G4">
        <v>26</v>
      </c>
      <c r="H4" t="s">
        <v>178</v>
      </c>
      <c r="J4" t="s">
        <v>178</v>
      </c>
    </row>
    <row r="5" spans="1:11" ht="14.4" x14ac:dyDescent="0.3">
      <c r="A5" s="2" t="s">
        <v>107</v>
      </c>
      <c r="B5" s="2" t="s">
        <v>108</v>
      </c>
      <c r="C5" t="s">
        <v>187</v>
      </c>
      <c r="D5">
        <v>1</v>
      </c>
      <c r="E5" t="s">
        <v>115</v>
      </c>
      <c r="F5" t="s">
        <v>178</v>
      </c>
      <c r="G5">
        <v>27</v>
      </c>
      <c r="H5" t="s">
        <v>178</v>
      </c>
      <c r="J5" t="s">
        <v>178</v>
      </c>
    </row>
    <row r="6" spans="1:11" ht="14.4" x14ac:dyDescent="0.3">
      <c r="A6" s="2" t="s">
        <v>107</v>
      </c>
      <c r="B6" s="2" t="s">
        <v>108</v>
      </c>
      <c r="C6" t="s">
        <v>189</v>
      </c>
      <c r="D6">
        <v>1</v>
      </c>
      <c r="E6" t="s">
        <v>110</v>
      </c>
      <c r="F6" t="s">
        <v>178</v>
      </c>
      <c r="G6">
        <v>28</v>
      </c>
      <c r="H6" t="s">
        <v>178</v>
      </c>
      <c r="I6" t="s">
        <v>219</v>
      </c>
      <c r="K6" t="s">
        <v>220</v>
      </c>
    </row>
    <row r="7" spans="1:11" ht="14.4" x14ac:dyDescent="0.3">
      <c r="A7" s="2" t="s">
        <v>107</v>
      </c>
      <c r="B7" s="2" t="s">
        <v>108</v>
      </c>
      <c r="C7" t="s">
        <v>190</v>
      </c>
      <c r="D7">
        <v>1</v>
      </c>
      <c r="E7" t="s">
        <v>115</v>
      </c>
      <c r="F7" t="s">
        <v>178</v>
      </c>
      <c r="G7">
        <v>29</v>
      </c>
      <c r="H7" t="s">
        <v>178</v>
      </c>
      <c r="J7" t="s">
        <v>178</v>
      </c>
    </row>
    <row r="8" spans="1:11" ht="14.4" x14ac:dyDescent="0.3">
      <c r="A8" s="2" t="s">
        <v>107</v>
      </c>
      <c r="B8" s="2" t="s">
        <v>108</v>
      </c>
      <c r="C8" t="s">
        <v>191</v>
      </c>
      <c r="D8">
        <v>1</v>
      </c>
      <c r="F8" t="s">
        <v>180</v>
      </c>
      <c r="H8" t="s">
        <v>180</v>
      </c>
      <c r="K8" t="s">
        <v>221</v>
      </c>
    </row>
    <row r="9" spans="1:11" ht="14.4" x14ac:dyDescent="0.3">
      <c r="A9" s="2" t="s">
        <v>107</v>
      </c>
      <c r="B9" s="2" t="s">
        <v>108</v>
      </c>
      <c r="C9" t="s">
        <v>192</v>
      </c>
      <c r="D9">
        <v>1</v>
      </c>
      <c r="E9" t="s">
        <v>115</v>
      </c>
      <c r="F9" t="s">
        <v>178</v>
      </c>
      <c r="G9">
        <v>30</v>
      </c>
      <c r="H9" t="s">
        <v>178</v>
      </c>
      <c r="J9" t="s">
        <v>178</v>
      </c>
    </row>
    <row r="10" spans="1:11" ht="14.4" x14ac:dyDescent="0.3">
      <c r="A10" s="2" t="s">
        <v>107</v>
      </c>
      <c r="B10" s="2" t="s">
        <v>108</v>
      </c>
      <c r="C10" t="s">
        <v>193</v>
      </c>
      <c r="D10">
        <v>1</v>
      </c>
      <c r="E10" t="s">
        <v>115</v>
      </c>
      <c r="F10" t="s">
        <v>178</v>
      </c>
      <c r="G10">
        <v>31</v>
      </c>
      <c r="H10" t="s">
        <v>178</v>
      </c>
      <c r="J10" t="s">
        <v>180</v>
      </c>
    </row>
    <row r="11" spans="1:11" ht="14.4" x14ac:dyDescent="0.3">
      <c r="A11" s="2" t="s">
        <v>107</v>
      </c>
      <c r="B11" s="2" t="s">
        <v>108</v>
      </c>
      <c r="C11" t="s">
        <v>194</v>
      </c>
      <c r="D11">
        <v>1</v>
      </c>
      <c r="E11" t="s">
        <v>115</v>
      </c>
      <c r="F11" t="s">
        <v>178</v>
      </c>
      <c r="G11">
        <v>32</v>
      </c>
      <c r="H11" t="s">
        <v>178</v>
      </c>
      <c r="J11" t="s">
        <v>178</v>
      </c>
    </row>
    <row r="12" spans="1:11" ht="14.4" x14ac:dyDescent="0.3">
      <c r="A12" s="2" t="s">
        <v>107</v>
      </c>
      <c r="B12" s="2" t="s">
        <v>108</v>
      </c>
      <c r="C12" t="s">
        <v>195</v>
      </c>
      <c r="D12">
        <v>1</v>
      </c>
      <c r="F12" t="s">
        <v>180</v>
      </c>
      <c r="H12" t="s">
        <v>180</v>
      </c>
      <c r="K12" t="s">
        <v>221</v>
      </c>
    </row>
    <row r="13" spans="1:11" ht="14.4" x14ac:dyDescent="0.3">
      <c r="A13" s="2" t="s">
        <v>107</v>
      </c>
      <c r="B13" s="2" t="s">
        <v>108</v>
      </c>
      <c r="C13" t="s">
        <v>196</v>
      </c>
      <c r="D13">
        <v>1</v>
      </c>
      <c r="E13" t="s">
        <v>110</v>
      </c>
      <c r="F13" t="s">
        <v>178</v>
      </c>
      <c r="G13">
        <v>33</v>
      </c>
      <c r="H13" t="s">
        <v>178</v>
      </c>
      <c r="J13" t="s">
        <v>178</v>
      </c>
    </row>
    <row r="14" spans="1:11" ht="14.4" x14ac:dyDescent="0.3">
      <c r="A14" s="2">
        <v>35</v>
      </c>
      <c r="B14" s="2" t="s">
        <v>108</v>
      </c>
      <c r="C14" t="s">
        <v>210</v>
      </c>
      <c r="D14">
        <v>1</v>
      </c>
      <c r="E14" t="s">
        <v>110</v>
      </c>
      <c r="F14" t="s">
        <v>178</v>
      </c>
      <c r="G14">
        <v>34</v>
      </c>
      <c r="H14" t="s">
        <v>178</v>
      </c>
      <c r="J14" t="s">
        <v>178</v>
      </c>
    </row>
    <row r="15" spans="1:11" ht="14.4" x14ac:dyDescent="0.3">
      <c r="A15" s="2">
        <v>35</v>
      </c>
      <c r="B15" s="2" t="s">
        <v>108</v>
      </c>
      <c r="C15" t="s">
        <v>197</v>
      </c>
      <c r="D15">
        <v>1</v>
      </c>
      <c r="E15" t="s">
        <v>115</v>
      </c>
      <c r="F15" t="s">
        <v>178</v>
      </c>
      <c r="G15">
        <v>35</v>
      </c>
      <c r="H15" t="s">
        <v>178</v>
      </c>
      <c r="J15" t="s">
        <v>178</v>
      </c>
    </row>
    <row r="16" spans="1:11" ht="14.4" x14ac:dyDescent="0.3">
      <c r="A16" s="2">
        <v>35</v>
      </c>
      <c r="B16" s="2" t="s">
        <v>108</v>
      </c>
      <c r="C16" t="s">
        <v>199</v>
      </c>
      <c r="D16">
        <v>1</v>
      </c>
      <c r="E16" t="s">
        <v>115</v>
      </c>
      <c r="F16" t="s">
        <v>178</v>
      </c>
      <c r="G16">
        <v>36</v>
      </c>
      <c r="H16" t="s">
        <v>178</v>
      </c>
      <c r="I16" t="s">
        <v>222</v>
      </c>
      <c r="J16" t="s">
        <v>178</v>
      </c>
    </row>
    <row r="17" spans="1:11" ht="14.4" x14ac:dyDescent="0.3">
      <c r="A17" s="2">
        <v>35</v>
      </c>
      <c r="B17" s="2" t="s">
        <v>108</v>
      </c>
      <c r="C17" t="s">
        <v>211</v>
      </c>
      <c r="D17">
        <v>1</v>
      </c>
      <c r="E17" t="s">
        <v>110</v>
      </c>
      <c r="F17" t="s">
        <v>178</v>
      </c>
      <c r="G17">
        <v>37</v>
      </c>
      <c r="H17" t="s">
        <v>178</v>
      </c>
      <c r="J17" t="s">
        <v>180</v>
      </c>
    </row>
    <row r="18" spans="1:11" ht="14.4" x14ac:dyDescent="0.3">
      <c r="A18" s="2">
        <v>35</v>
      </c>
      <c r="B18" s="2" t="s">
        <v>108</v>
      </c>
      <c r="C18" t="s">
        <v>200</v>
      </c>
      <c r="D18">
        <v>1</v>
      </c>
      <c r="E18" t="s">
        <v>110</v>
      </c>
      <c r="F18" t="s">
        <v>178</v>
      </c>
      <c r="G18">
        <v>38</v>
      </c>
      <c r="H18" t="s">
        <v>178</v>
      </c>
      <c r="J18" t="s">
        <v>178</v>
      </c>
      <c r="K18" t="s">
        <v>223</v>
      </c>
    </row>
    <row r="19" spans="1:11" ht="14.4" x14ac:dyDescent="0.3">
      <c r="A19" s="2">
        <v>35</v>
      </c>
      <c r="B19" s="2" t="s">
        <v>108</v>
      </c>
      <c r="C19" t="s">
        <v>201</v>
      </c>
      <c r="D19">
        <v>1</v>
      </c>
      <c r="E19" t="s">
        <v>110</v>
      </c>
      <c r="F19" t="s">
        <v>178</v>
      </c>
      <c r="G19">
        <v>39</v>
      </c>
      <c r="H19" t="s">
        <v>178</v>
      </c>
      <c r="J19" t="s">
        <v>178</v>
      </c>
    </row>
    <row r="20" spans="1:11" ht="14.4" x14ac:dyDescent="0.3">
      <c r="A20" s="2">
        <v>35</v>
      </c>
      <c r="B20" s="2" t="s">
        <v>108</v>
      </c>
      <c r="C20" t="s">
        <v>202</v>
      </c>
      <c r="D20">
        <v>1</v>
      </c>
      <c r="E20" t="s">
        <v>110</v>
      </c>
      <c r="F20" t="s">
        <v>178</v>
      </c>
      <c r="G20">
        <v>40</v>
      </c>
      <c r="H20" t="s">
        <v>178</v>
      </c>
      <c r="J20" t="s">
        <v>178</v>
      </c>
    </row>
    <row r="21" spans="1:11" ht="14.4" x14ac:dyDescent="0.3">
      <c r="A21" s="2">
        <v>35</v>
      </c>
      <c r="B21" s="2" t="s">
        <v>108</v>
      </c>
      <c r="C21" t="s">
        <v>212</v>
      </c>
      <c r="D21">
        <v>1</v>
      </c>
      <c r="E21" t="s">
        <v>115</v>
      </c>
      <c r="F21" t="s">
        <v>178</v>
      </c>
      <c r="G21">
        <v>41</v>
      </c>
      <c r="H21" t="s">
        <v>178</v>
      </c>
      <c r="J21" t="s">
        <v>178</v>
      </c>
    </row>
    <row r="22" spans="1:11" ht="14.4" x14ac:dyDescent="0.3">
      <c r="A22" s="2">
        <v>35</v>
      </c>
      <c r="B22" s="2" t="s">
        <v>108</v>
      </c>
      <c r="C22" t="s">
        <v>213</v>
      </c>
      <c r="D22">
        <v>1</v>
      </c>
      <c r="E22" t="s">
        <v>115</v>
      </c>
      <c r="F22" t="s">
        <v>178</v>
      </c>
      <c r="G22">
        <v>42</v>
      </c>
      <c r="H22" t="s">
        <v>178</v>
      </c>
      <c r="J22" t="s">
        <v>178</v>
      </c>
    </row>
    <row r="23" spans="1:11" ht="14.4" x14ac:dyDescent="0.3">
      <c r="A23" s="2">
        <v>35</v>
      </c>
      <c r="B23" s="2" t="s">
        <v>108</v>
      </c>
      <c r="C23" t="s">
        <v>214</v>
      </c>
      <c r="D23">
        <v>1</v>
      </c>
      <c r="E23" t="s">
        <v>115</v>
      </c>
      <c r="F23" t="s">
        <v>178</v>
      </c>
      <c r="G23">
        <v>43</v>
      </c>
      <c r="H23" t="s">
        <v>178</v>
      </c>
      <c r="I23" t="s">
        <v>219</v>
      </c>
      <c r="K23" t="s">
        <v>220</v>
      </c>
    </row>
    <row r="24" spans="1:11" ht="14.4" x14ac:dyDescent="0.3">
      <c r="A24" s="2">
        <v>35</v>
      </c>
      <c r="B24" s="2" t="s">
        <v>108</v>
      </c>
      <c r="C24" t="s">
        <v>215</v>
      </c>
      <c r="D24">
        <v>1</v>
      </c>
      <c r="E24" t="s">
        <v>115</v>
      </c>
      <c r="F24" t="s">
        <v>178</v>
      </c>
      <c r="G24">
        <v>44</v>
      </c>
      <c r="H24" t="s">
        <v>178</v>
      </c>
      <c r="J24" t="s">
        <v>178</v>
      </c>
    </row>
    <row r="25" spans="1:11" ht="14.4" x14ac:dyDescent="0.3">
      <c r="A25" s="2">
        <v>35</v>
      </c>
      <c r="B25" s="2" t="s">
        <v>108</v>
      </c>
      <c r="C25" t="s">
        <v>216</v>
      </c>
      <c r="D25">
        <v>1</v>
      </c>
      <c r="E25" t="s">
        <v>115</v>
      </c>
      <c r="F25" t="s">
        <v>178</v>
      </c>
      <c r="G25">
        <v>45</v>
      </c>
      <c r="H25" t="s">
        <v>178</v>
      </c>
      <c r="J25" t="s">
        <v>178</v>
      </c>
    </row>
    <row r="26" spans="1:11" ht="14.95" customHeight="1" x14ac:dyDescent="0.3">
      <c r="A26" s="2" t="s">
        <v>134</v>
      </c>
      <c r="B26" s="2">
        <v>2</v>
      </c>
      <c r="C26" t="s">
        <v>124</v>
      </c>
      <c r="D26">
        <v>1</v>
      </c>
      <c r="E26" t="s">
        <v>115</v>
      </c>
      <c r="F26" t="s">
        <v>178</v>
      </c>
      <c r="G26">
        <v>18</v>
      </c>
      <c r="H26" t="s">
        <v>178</v>
      </c>
      <c r="J26" t="s">
        <v>178</v>
      </c>
    </row>
    <row r="27" spans="1:11" ht="14.4" x14ac:dyDescent="0.3">
      <c r="A27" s="2" t="s">
        <v>134</v>
      </c>
      <c r="B27" s="2" t="s">
        <v>135</v>
      </c>
      <c r="C27" t="s">
        <v>125</v>
      </c>
      <c r="D27">
        <v>1</v>
      </c>
      <c r="E27" t="s">
        <v>110</v>
      </c>
      <c r="F27" t="s">
        <v>178</v>
      </c>
      <c r="G27">
        <v>26</v>
      </c>
      <c r="H27" t="s">
        <v>178</v>
      </c>
      <c r="J27" t="s">
        <v>178</v>
      </c>
    </row>
    <row r="28" spans="1:11" ht="14.4" x14ac:dyDescent="0.3">
      <c r="A28" s="2" t="s">
        <v>134</v>
      </c>
      <c r="B28" s="2" t="s">
        <v>135</v>
      </c>
      <c r="C28" t="s">
        <v>224</v>
      </c>
      <c r="D28">
        <v>1</v>
      </c>
      <c r="F28" t="s">
        <v>178</v>
      </c>
      <c r="G28">
        <v>34</v>
      </c>
      <c r="H28" t="s">
        <v>180</v>
      </c>
      <c r="I28" t="s">
        <v>219</v>
      </c>
      <c r="K28" t="s">
        <v>219</v>
      </c>
    </row>
    <row r="29" spans="1:11" ht="14.4" x14ac:dyDescent="0.3">
      <c r="A29" s="2" t="s">
        <v>134</v>
      </c>
      <c r="B29" s="2" t="s">
        <v>135</v>
      </c>
      <c r="C29" t="s">
        <v>225</v>
      </c>
      <c r="D29">
        <v>1</v>
      </c>
      <c r="E29" t="s">
        <v>115</v>
      </c>
      <c r="F29" t="s">
        <v>178</v>
      </c>
      <c r="G29">
        <v>41</v>
      </c>
      <c r="H29" t="s">
        <v>178</v>
      </c>
      <c r="J29" t="s">
        <v>178</v>
      </c>
    </row>
    <row r="30" spans="1:11" ht="14.4" x14ac:dyDescent="0.3">
      <c r="A30" s="2" t="s">
        <v>134</v>
      </c>
      <c r="B30" s="2" t="s">
        <v>135</v>
      </c>
      <c r="C30" t="s">
        <v>226</v>
      </c>
      <c r="D30">
        <v>1</v>
      </c>
      <c r="F30" t="s">
        <v>180</v>
      </c>
      <c r="G30" s="1"/>
      <c r="H30" t="s">
        <v>180</v>
      </c>
      <c r="J30" t="s">
        <v>178</v>
      </c>
    </row>
    <row r="31" spans="1:11" ht="14.4" x14ac:dyDescent="0.3">
      <c r="A31" s="2" t="s">
        <v>134</v>
      </c>
      <c r="B31" s="2" t="s">
        <v>135</v>
      </c>
      <c r="C31" t="s">
        <v>227</v>
      </c>
      <c r="D31">
        <v>1</v>
      </c>
      <c r="F31" t="s">
        <v>180</v>
      </c>
      <c r="G31" s="1"/>
      <c r="H31" t="s">
        <v>180</v>
      </c>
      <c r="K31" t="s">
        <v>228</v>
      </c>
    </row>
    <row r="32" spans="1:11" ht="14.4" x14ac:dyDescent="0.3">
      <c r="A32" s="2" t="s">
        <v>134</v>
      </c>
      <c r="B32" s="2" t="s">
        <v>135</v>
      </c>
      <c r="C32" t="s">
        <v>229</v>
      </c>
      <c r="D32">
        <v>1</v>
      </c>
      <c r="E32" t="s">
        <v>115</v>
      </c>
      <c r="F32" t="s">
        <v>178</v>
      </c>
      <c r="G32">
        <v>57</v>
      </c>
      <c r="H32" t="s">
        <v>178</v>
      </c>
      <c r="J32" t="s">
        <v>178</v>
      </c>
    </row>
    <row r="33" spans="1:11" ht="14.4" x14ac:dyDescent="0.3">
      <c r="A33" s="2" t="s">
        <v>134</v>
      </c>
      <c r="B33" s="2" t="s">
        <v>135</v>
      </c>
      <c r="C33" t="s">
        <v>230</v>
      </c>
      <c r="D33">
        <v>1</v>
      </c>
      <c r="E33" t="s">
        <v>115</v>
      </c>
      <c r="F33" t="s">
        <v>178</v>
      </c>
      <c r="G33">
        <v>63</v>
      </c>
      <c r="H33" t="s">
        <v>178</v>
      </c>
      <c r="J33" t="s">
        <v>178</v>
      </c>
    </row>
    <row r="34" spans="1:11" ht="14.4" x14ac:dyDescent="0.3">
      <c r="A34" s="2" t="s">
        <v>134</v>
      </c>
      <c r="B34" s="2" t="s">
        <v>135</v>
      </c>
      <c r="C34" t="s">
        <v>231</v>
      </c>
      <c r="D34">
        <v>1</v>
      </c>
      <c r="F34" t="s">
        <v>178</v>
      </c>
      <c r="H34" t="s">
        <v>180</v>
      </c>
      <c r="J34" t="s">
        <v>232</v>
      </c>
      <c r="K34" t="s">
        <v>233</v>
      </c>
    </row>
    <row r="35" spans="1:11" ht="14.4" x14ac:dyDescent="0.3">
      <c r="A35" s="2" t="s">
        <v>134</v>
      </c>
      <c r="B35" s="2" t="s">
        <v>135</v>
      </c>
      <c r="C35" t="s">
        <v>234</v>
      </c>
      <c r="D35">
        <v>1</v>
      </c>
      <c r="E35" t="s">
        <v>110</v>
      </c>
      <c r="F35" t="s">
        <v>178</v>
      </c>
      <c r="G35">
        <v>75</v>
      </c>
      <c r="H35" t="s">
        <v>178</v>
      </c>
      <c r="J35" t="s">
        <v>178</v>
      </c>
    </row>
    <row r="36" spans="1:11" ht="14.4" x14ac:dyDescent="0.3">
      <c r="A36" s="2" t="s">
        <v>134</v>
      </c>
      <c r="B36" s="2" t="s">
        <v>135</v>
      </c>
      <c r="C36" t="s">
        <v>177</v>
      </c>
      <c r="D36">
        <v>1</v>
      </c>
      <c r="E36" t="s">
        <v>115</v>
      </c>
      <c r="F36" t="s">
        <v>178</v>
      </c>
      <c r="G36">
        <v>3</v>
      </c>
      <c r="H36" t="s">
        <v>178</v>
      </c>
      <c r="J36" t="s">
        <v>178</v>
      </c>
    </row>
    <row r="37" spans="1:11" ht="14.4" x14ac:dyDescent="0.3">
      <c r="A37" s="2" t="s">
        <v>134</v>
      </c>
      <c r="B37" s="2" t="s">
        <v>135</v>
      </c>
      <c r="C37" t="s">
        <v>179</v>
      </c>
      <c r="D37">
        <v>1</v>
      </c>
      <c r="E37" t="s">
        <v>115</v>
      </c>
      <c r="F37" t="s">
        <v>178</v>
      </c>
      <c r="G37">
        <v>11</v>
      </c>
      <c r="H37" t="s">
        <v>178</v>
      </c>
      <c r="J37" t="s">
        <v>178</v>
      </c>
    </row>
    <row r="38" spans="1:11" ht="14.4" x14ac:dyDescent="0.3">
      <c r="A38" s="2">
        <v>39</v>
      </c>
      <c r="B38" s="2" t="s">
        <v>108</v>
      </c>
      <c r="C38" t="s">
        <v>154</v>
      </c>
      <c r="D38">
        <v>1</v>
      </c>
      <c r="E38" t="s">
        <v>115</v>
      </c>
      <c r="F38" t="s">
        <v>178</v>
      </c>
      <c r="G38">
        <v>46</v>
      </c>
      <c r="H38" t="s">
        <v>178</v>
      </c>
      <c r="J38" t="s">
        <v>178</v>
      </c>
    </row>
    <row r="39" spans="1:11" ht="14.4" x14ac:dyDescent="0.3">
      <c r="A39" s="2">
        <v>39</v>
      </c>
      <c r="B39" s="2" t="s">
        <v>108</v>
      </c>
      <c r="C39" t="s">
        <v>157</v>
      </c>
      <c r="D39">
        <v>1</v>
      </c>
      <c r="E39" t="s">
        <v>110</v>
      </c>
      <c r="F39" t="s">
        <v>178</v>
      </c>
      <c r="G39">
        <v>47</v>
      </c>
      <c r="H39" t="s">
        <v>178</v>
      </c>
      <c r="J39" t="s">
        <v>178</v>
      </c>
    </row>
    <row r="40" spans="1:11" ht="14.4" x14ac:dyDescent="0.3">
      <c r="A40" s="2">
        <v>39</v>
      </c>
      <c r="B40" s="2" t="s">
        <v>108</v>
      </c>
      <c r="C40" t="s">
        <v>158</v>
      </c>
      <c r="D40">
        <v>1</v>
      </c>
      <c r="F40" t="s">
        <v>180</v>
      </c>
      <c r="H40" t="s">
        <v>180</v>
      </c>
    </row>
    <row r="41" spans="1:11" ht="14.4" x14ac:dyDescent="0.3">
      <c r="A41" s="2">
        <v>39</v>
      </c>
      <c r="B41" s="2" t="s">
        <v>108</v>
      </c>
      <c r="C41" t="s">
        <v>159</v>
      </c>
      <c r="D41">
        <v>1</v>
      </c>
      <c r="E41" t="s">
        <v>110</v>
      </c>
      <c r="F41" t="s">
        <v>178</v>
      </c>
      <c r="G41">
        <v>48</v>
      </c>
      <c r="H41" t="s">
        <v>178</v>
      </c>
      <c r="J41" t="s">
        <v>178</v>
      </c>
    </row>
    <row r="42" spans="1:11" ht="14.4" x14ac:dyDescent="0.3">
      <c r="A42" s="2">
        <v>39</v>
      </c>
      <c r="B42" s="2" t="s">
        <v>108</v>
      </c>
      <c r="C42" t="s">
        <v>160</v>
      </c>
      <c r="D42">
        <v>1</v>
      </c>
      <c r="E42" t="s">
        <v>110</v>
      </c>
      <c r="F42" t="s">
        <v>178</v>
      </c>
      <c r="G42">
        <v>49</v>
      </c>
      <c r="H42" t="s">
        <v>178</v>
      </c>
      <c r="J42" t="s">
        <v>178</v>
      </c>
    </row>
    <row r="43" spans="1:11" ht="14.4" x14ac:dyDescent="0.3">
      <c r="A43" s="2">
        <v>39</v>
      </c>
      <c r="B43" s="2" t="s">
        <v>108</v>
      </c>
      <c r="C43" t="s">
        <v>161</v>
      </c>
      <c r="D43">
        <v>1</v>
      </c>
      <c r="E43" t="s">
        <v>115</v>
      </c>
      <c r="F43" t="s">
        <v>178</v>
      </c>
      <c r="G43">
        <v>50</v>
      </c>
      <c r="H43" t="s">
        <v>178</v>
      </c>
      <c r="J43" t="s">
        <v>178</v>
      </c>
    </row>
    <row r="44" spans="1:11" ht="14.4" x14ac:dyDescent="0.3">
      <c r="A44" s="2">
        <v>39</v>
      </c>
      <c r="B44" s="2" t="s">
        <v>108</v>
      </c>
      <c r="C44" t="s">
        <v>162</v>
      </c>
      <c r="D44">
        <v>1</v>
      </c>
      <c r="E44" t="s">
        <v>115</v>
      </c>
      <c r="F44" t="s">
        <v>178</v>
      </c>
      <c r="G44">
        <v>51</v>
      </c>
      <c r="H44" t="s">
        <v>178</v>
      </c>
      <c r="J44" t="s">
        <v>178</v>
      </c>
    </row>
    <row r="45" spans="1:11" ht="14.4" x14ac:dyDescent="0.3">
      <c r="A45" s="2">
        <v>39</v>
      </c>
      <c r="B45" s="2" t="s">
        <v>108</v>
      </c>
      <c r="C45" t="s">
        <v>163</v>
      </c>
      <c r="D45">
        <v>1</v>
      </c>
      <c r="E45" t="s">
        <v>115</v>
      </c>
      <c r="F45" t="s">
        <v>178</v>
      </c>
      <c r="G45">
        <v>52</v>
      </c>
      <c r="H45" t="s">
        <v>178</v>
      </c>
      <c r="J45" t="s">
        <v>178</v>
      </c>
    </row>
    <row r="46" spans="1:11" ht="14.4" x14ac:dyDescent="0.3">
      <c r="A46" s="2">
        <v>39</v>
      </c>
      <c r="B46" s="2" t="s">
        <v>108</v>
      </c>
      <c r="C46" t="s">
        <v>164</v>
      </c>
      <c r="D46">
        <v>1</v>
      </c>
      <c r="E46" t="s">
        <v>110</v>
      </c>
      <c r="F46" t="s">
        <v>178</v>
      </c>
      <c r="G46">
        <v>53</v>
      </c>
      <c r="H46" t="s">
        <v>178</v>
      </c>
      <c r="J46" t="s">
        <v>178</v>
      </c>
    </row>
    <row r="47" spans="1:11" ht="14.4" x14ac:dyDescent="0.3">
      <c r="A47" s="2">
        <v>39</v>
      </c>
      <c r="B47" s="2" t="s">
        <v>108</v>
      </c>
      <c r="C47" t="s">
        <v>165</v>
      </c>
      <c r="D47">
        <v>1</v>
      </c>
      <c r="E47" t="s">
        <v>115</v>
      </c>
      <c r="F47" t="s">
        <v>178</v>
      </c>
      <c r="G47">
        <v>54</v>
      </c>
      <c r="H47" t="s">
        <v>178</v>
      </c>
      <c r="J47" t="s">
        <v>178</v>
      </c>
    </row>
    <row r="48" spans="1:11" ht="14.4" x14ac:dyDescent="0.3">
      <c r="A48" s="2">
        <v>39</v>
      </c>
      <c r="B48" s="2" t="s">
        <v>108</v>
      </c>
      <c r="C48" t="s">
        <v>166</v>
      </c>
      <c r="D48">
        <v>1</v>
      </c>
      <c r="E48" t="s">
        <v>115</v>
      </c>
      <c r="F48" t="s">
        <v>178</v>
      </c>
      <c r="G48">
        <v>55</v>
      </c>
      <c r="H48" t="s">
        <v>178</v>
      </c>
      <c r="J48" t="s">
        <v>178</v>
      </c>
    </row>
    <row r="49" spans="1:10" ht="14.4" x14ac:dyDescent="0.3">
      <c r="A49" s="2">
        <v>39</v>
      </c>
      <c r="B49" s="2" t="s">
        <v>108</v>
      </c>
      <c r="C49" t="s">
        <v>167</v>
      </c>
      <c r="D49">
        <v>1</v>
      </c>
      <c r="E49" t="s">
        <v>115</v>
      </c>
      <c r="F49" t="s">
        <v>178</v>
      </c>
      <c r="G49">
        <v>56</v>
      </c>
      <c r="H49" t="s">
        <v>178</v>
      </c>
      <c r="J49" t="s">
        <v>178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1C95-0571-430B-8786-C9F105CD76EE}">
  <dimension ref="A1:AD16"/>
  <sheetViews>
    <sheetView workbookViewId="0">
      <selection activeCell="C19" sqref="C19"/>
    </sheetView>
  </sheetViews>
  <sheetFormatPr defaultColWidth="3.3984375" defaultRowHeight="14.4" x14ac:dyDescent="0.3"/>
  <cols>
    <col min="1" max="1" width="10.09765625" customWidth="1"/>
    <col min="2" max="2" width="11" customWidth="1"/>
    <col min="3" max="3" width="7.296875" bestFit="1" customWidth="1"/>
  </cols>
  <sheetData>
    <row r="1" spans="1:30" x14ac:dyDescent="0.3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 t="s">
        <v>235</v>
      </c>
    </row>
    <row r="2" spans="1:30" x14ac:dyDescent="0.3">
      <c r="A2" t="s">
        <v>236</v>
      </c>
      <c r="B2" t="s">
        <v>237</v>
      </c>
      <c r="C2" s="6">
        <f>WT_c!B13</f>
        <v>0</v>
      </c>
      <c r="D2" s="6">
        <f>WT_c!C13</f>
        <v>0</v>
      </c>
      <c r="E2" s="6">
        <f>WT_c!D13</f>
        <v>0</v>
      </c>
      <c r="F2" s="6">
        <f>WT_c!E13</f>
        <v>0</v>
      </c>
      <c r="G2" s="6">
        <f>WT_c!F13</f>
        <v>0</v>
      </c>
      <c r="H2" s="6">
        <f>WT_c!G13</f>
        <v>0</v>
      </c>
      <c r="I2" s="6">
        <f>WT_c!H13</f>
        <v>0</v>
      </c>
      <c r="J2" s="6">
        <f>WT_c!I13</f>
        <v>0</v>
      </c>
      <c r="K2" s="6">
        <f>WT_c!J13</f>
        <v>0</v>
      </c>
      <c r="L2" s="6">
        <f>WT_c!K13</f>
        <v>0</v>
      </c>
      <c r="M2" s="6">
        <f>WT_c!L13</f>
        <v>0</v>
      </c>
      <c r="N2" s="6">
        <f>WT_c!M13</f>
        <v>0</v>
      </c>
      <c r="O2" s="6">
        <f>WT_c!N13</f>
        <v>0</v>
      </c>
      <c r="P2" s="6">
        <f>WT_c!O13</f>
        <v>0</v>
      </c>
      <c r="Q2" s="6">
        <f>WT_c!P13</f>
        <v>0</v>
      </c>
      <c r="R2" s="6">
        <f>WT_c!Q13</f>
        <v>0</v>
      </c>
      <c r="S2" s="6">
        <f>WT_c!R13</f>
        <v>0</v>
      </c>
      <c r="T2" s="6">
        <f>WT_c!S13</f>
        <v>0</v>
      </c>
      <c r="U2" s="6">
        <f>WT_c!T13</f>
        <v>0</v>
      </c>
      <c r="V2" s="6">
        <f>WT_c!U13</f>
        <v>0</v>
      </c>
      <c r="W2" s="6">
        <f>WT_c!V13</f>
        <v>0</v>
      </c>
      <c r="X2" s="6">
        <f>WT_c!W13</f>
        <v>0</v>
      </c>
      <c r="Y2" s="6">
        <f>WT_c!X13</f>
        <v>0</v>
      </c>
      <c r="Z2" s="6">
        <f>WT_c!Y13</f>
        <v>0</v>
      </c>
      <c r="AA2" s="6">
        <f>WT_c!Z13</f>
        <v>0</v>
      </c>
      <c r="AB2" s="6">
        <f>WT_c!AA13</f>
        <v>0</v>
      </c>
      <c r="AC2" s="6">
        <f>WT_c!AB13</f>
        <v>0</v>
      </c>
      <c r="AD2" s="6">
        <f>WT_c!AC13</f>
        <v>0</v>
      </c>
    </row>
    <row r="3" spans="1:30" x14ac:dyDescent="0.3">
      <c r="A3" t="s">
        <v>238</v>
      </c>
      <c r="B3" t="s">
        <v>237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3">
      <c r="A4" t="s">
        <v>239</v>
      </c>
      <c r="B4" t="s">
        <v>237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3">
      <c r="A5" t="s">
        <v>240</v>
      </c>
      <c r="B5" t="s">
        <v>237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3">
      <c r="A6" t="s">
        <v>241</v>
      </c>
      <c r="B6" t="s">
        <v>237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3">
      <c r="A7" t="s">
        <v>242</v>
      </c>
      <c r="B7" t="s">
        <v>237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3">
      <c r="A8" t="s">
        <v>243</v>
      </c>
      <c r="B8" t="s">
        <v>237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3">
      <c r="A9" t="s">
        <v>244</v>
      </c>
      <c r="B9" t="s">
        <v>237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3">
      <c r="A10" t="s">
        <v>245</v>
      </c>
      <c r="B10" t="s">
        <v>237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x14ac:dyDescent="0.3">
      <c r="A11" t="s">
        <v>246</v>
      </c>
      <c r="B11" t="s">
        <v>237</v>
      </c>
    </row>
    <row r="12" spans="1:30" x14ac:dyDescent="0.3">
      <c r="A12" t="s">
        <v>247</v>
      </c>
      <c r="B12" t="s">
        <v>237</v>
      </c>
    </row>
    <row r="13" spans="1:30" x14ac:dyDescent="0.3">
      <c r="A13" t="s">
        <v>248</v>
      </c>
      <c r="B13" t="s">
        <v>237</v>
      </c>
    </row>
    <row r="14" spans="1:30" x14ac:dyDescent="0.3">
      <c r="A14" t="s">
        <v>249</v>
      </c>
      <c r="B14" t="s">
        <v>237</v>
      </c>
    </row>
    <row r="15" spans="1:30" x14ac:dyDescent="0.3">
      <c r="A15" t="s">
        <v>250</v>
      </c>
      <c r="B15" t="s">
        <v>237</v>
      </c>
    </row>
    <row r="16" spans="1:30" x14ac:dyDescent="0.3">
      <c r="A16" t="s">
        <v>251</v>
      </c>
      <c r="B16" t="s">
        <v>237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07C3-7179-4CB4-B21C-76B3A9A3FEC4}">
  <dimension ref="A1:AC16"/>
  <sheetViews>
    <sheetView workbookViewId="0">
      <selection activeCell="B13" sqref="B13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254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0</v>
      </c>
    </row>
    <row r="3" spans="1:29" x14ac:dyDescent="0.3">
      <c r="A3" s="1" t="s">
        <v>255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2" si="0">SUM(B3:AB3)</f>
        <v>0</v>
      </c>
    </row>
    <row r="4" spans="1:29" x14ac:dyDescent="0.3">
      <c r="A4" s="1" t="s">
        <v>256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0</v>
      </c>
    </row>
    <row r="5" spans="1:29" x14ac:dyDescent="0.3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0</v>
      </c>
    </row>
    <row r="6" spans="1:29" x14ac:dyDescent="0.3">
      <c r="A6" s="1" t="s">
        <v>257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0</v>
      </c>
    </row>
    <row r="7" spans="1:29" x14ac:dyDescent="0.3">
      <c r="A7" s="1" t="s">
        <v>258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0</v>
      </c>
    </row>
    <row r="8" spans="1:29" x14ac:dyDescent="0.3">
      <c r="A8" s="1" t="s">
        <v>259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>SUM(B8:AB8)</f>
        <v>0</v>
      </c>
    </row>
    <row r="9" spans="1:29" x14ac:dyDescent="0.3">
      <c r="A9" s="1" t="s">
        <v>260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0</v>
      </c>
    </row>
    <row r="10" spans="1:29" x14ac:dyDescent="0.3">
      <c r="A10" s="1" t="s">
        <v>261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0</v>
      </c>
    </row>
    <row r="11" spans="1:29" x14ac:dyDescent="0.3">
      <c r="A11" s="1" t="s">
        <v>262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0</v>
      </c>
    </row>
    <row r="12" spans="1:29" x14ac:dyDescent="0.3">
      <c r="A12" s="1" t="s">
        <v>263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0</v>
      </c>
    </row>
    <row r="13" spans="1:29" x14ac:dyDescent="0.3">
      <c r="A13" s="6" t="s">
        <v>237</v>
      </c>
      <c r="B13" s="6">
        <f>AVERAGE(B2:B12)</f>
        <v>0</v>
      </c>
      <c r="C13" s="6">
        <f t="shared" ref="C13:AC13" si="1">AVERAGE(C2:C12)</f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6">
        <f t="shared" si="1"/>
        <v>0</v>
      </c>
      <c r="P13" s="6">
        <f t="shared" si="1"/>
        <v>0</v>
      </c>
      <c r="Q13" s="6">
        <f t="shared" si="1"/>
        <v>0</v>
      </c>
      <c r="R13" s="6">
        <f t="shared" si="1"/>
        <v>0</v>
      </c>
      <c r="S13" s="6">
        <f t="shared" si="1"/>
        <v>0</v>
      </c>
      <c r="T13" s="6">
        <f t="shared" si="1"/>
        <v>0</v>
      </c>
      <c r="U13" s="6">
        <f t="shared" si="1"/>
        <v>0</v>
      </c>
      <c r="V13" s="6">
        <f t="shared" si="1"/>
        <v>0</v>
      </c>
      <c r="W13" s="6">
        <f t="shared" si="1"/>
        <v>0</v>
      </c>
      <c r="X13" s="6">
        <f t="shared" si="1"/>
        <v>0</v>
      </c>
      <c r="Y13" s="6">
        <f t="shared" si="1"/>
        <v>0</v>
      </c>
      <c r="Z13" s="6">
        <f t="shared" si="1"/>
        <v>0</v>
      </c>
      <c r="AA13" s="6">
        <f t="shared" si="1"/>
        <v>0</v>
      </c>
      <c r="AB13" s="6">
        <f t="shared" si="1"/>
        <v>0</v>
      </c>
      <c r="AC13" s="6">
        <f t="shared" si="1"/>
        <v>0</v>
      </c>
    </row>
    <row r="14" spans="1:29" x14ac:dyDescent="0.3">
      <c r="A14" s="1" t="s">
        <v>264</v>
      </c>
      <c r="B14" s="1">
        <f>MEDIAN(B2:B12)</f>
        <v>0</v>
      </c>
      <c r="C14" s="1">
        <f t="shared" ref="C14:AC14" si="2">MEDIAN(C2:C12)</f>
        <v>0</v>
      </c>
      <c r="D14" s="1">
        <f t="shared" si="2"/>
        <v>0</v>
      </c>
      <c r="E14" s="1">
        <f t="shared" si="2"/>
        <v>0</v>
      </c>
      <c r="F14" s="1">
        <f t="shared" si="2"/>
        <v>0</v>
      </c>
      <c r="G14" s="1">
        <f t="shared" si="2"/>
        <v>0</v>
      </c>
      <c r="H14" s="1">
        <f t="shared" si="2"/>
        <v>0</v>
      </c>
      <c r="I14" s="1">
        <f t="shared" si="2"/>
        <v>0</v>
      </c>
      <c r="J14" s="1">
        <f t="shared" si="2"/>
        <v>0</v>
      </c>
      <c r="K14" s="1">
        <f t="shared" si="2"/>
        <v>0</v>
      </c>
      <c r="L14" s="1">
        <f t="shared" si="2"/>
        <v>0</v>
      </c>
      <c r="M14" s="1">
        <f t="shared" si="2"/>
        <v>0</v>
      </c>
      <c r="N14" s="1">
        <f t="shared" si="2"/>
        <v>0</v>
      </c>
      <c r="O14" s="1">
        <f t="shared" si="2"/>
        <v>0</v>
      </c>
      <c r="P14" s="1">
        <f t="shared" si="2"/>
        <v>0</v>
      </c>
      <c r="Q14" s="1">
        <f t="shared" si="2"/>
        <v>0</v>
      </c>
      <c r="R14" s="1">
        <f t="shared" si="2"/>
        <v>0</v>
      </c>
      <c r="S14" s="1">
        <f t="shared" si="2"/>
        <v>0</v>
      </c>
      <c r="T14" s="1">
        <f t="shared" si="2"/>
        <v>0</v>
      </c>
      <c r="U14" s="1">
        <f t="shared" si="2"/>
        <v>0</v>
      </c>
      <c r="V14" s="1">
        <f t="shared" si="2"/>
        <v>0</v>
      </c>
      <c r="W14" s="1">
        <f t="shared" si="2"/>
        <v>0</v>
      </c>
      <c r="X14" s="1">
        <f t="shared" si="2"/>
        <v>0</v>
      </c>
      <c r="Y14" s="1">
        <f t="shared" si="2"/>
        <v>0</v>
      </c>
      <c r="Z14" s="1">
        <f t="shared" si="2"/>
        <v>0</v>
      </c>
      <c r="AA14" s="1">
        <f t="shared" si="2"/>
        <v>0</v>
      </c>
      <c r="AB14" s="1">
        <f t="shared" si="2"/>
        <v>0</v>
      </c>
      <c r="AC14" s="1">
        <f t="shared" si="2"/>
        <v>0</v>
      </c>
    </row>
    <row r="15" spans="1:29" x14ac:dyDescent="0.3">
      <c r="A15" s="1" t="s">
        <v>265</v>
      </c>
      <c r="B15" s="1">
        <f>_xlfn.MODE.SNGL(B2:B12)</f>
        <v>0</v>
      </c>
      <c r="C15" s="1">
        <f t="shared" ref="C15:AC15" si="3">_xlfn.MODE.SNGL(C2:C12)</f>
        <v>0</v>
      </c>
      <c r="D15" s="1">
        <f t="shared" si="3"/>
        <v>0</v>
      </c>
      <c r="E15" s="1">
        <f t="shared" si="3"/>
        <v>0</v>
      </c>
      <c r="F15" s="1">
        <f t="shared" si="3"/>
        <v>0</v>
      </c>
      <c r="G15" s="1">
        <f t="shared" si="3"/>
        <v>0</v>
      </c>
      <c r="H15" s="1">
        <f t="shared" si="3"/>
        <v>0</v>
      </c>
      <c r="I15" s="1">
        <f t="shared" si="3"/>
        <v>0</v>
      </c>
      <c r="J15" s="1">
        <f t="shared" si="3"/>
        <v>0</v>
      </c>
      <c r="K15" s="1">
        <f t="shared" si="3"/>
        <v>0</v>
      </c>
      <c r="L15" s="1">
        <f t="shared" si="3"/>
        <v>0</v>
      </c>
      <c r="M15" s="1">
        <f t="shared" si="3"/>
        <v>0</v>
      </c>
      <c r="N15" s="1">
        <f t="shared" si="3"/>
        <v>0</v>
      </c>
      <c r="O15" s="1">
        <f t="shared" si="3"/>
        <v>0</v>
      </c>
      <c r="P15" s="1">
        <f t="shared" si="3"/>
        <v>0</v>
      </c>
      <c r="Q15" s="1">
        <f t="shared" si="3"/>
        <v>0</v>
      </c>
      <c r="R15" s="1">
        <f t="shared" si="3"/>
        <v>0</v>
      </c>
      <c r="S15" s="1">
        <f t="shared" si="3"/>
        <v>0</v>
      </c>
      <c r="T15" s="1">
        <f t="shared" si="3"/>
        <v>0</v>
      </c>
      <c r="U15" s="1">
        <f t="shared" si="3"/>
        <v>0</v>
      </c>
      <c r="V15" s="1">
        <f t="shared" si="3"/>
        <v>0</v>
      </c>
      <c r="W15" s="1">
        <f t="shared" si="3"/>
        <v>0</v>
      </c>
      <c r="X15" s="1">
        <f t="shared" si="3"/>
        <v>0</v>
      </c>
      <c r="Y15" s="1">
        <f t="shared" si="3"/>
        <v>0</v>
      </c>
      <c r="Z15" s="1">
        <f t="shared" si="3"/>
        <v>0</v>
      </c>
      <c r="AA15" s="1">
        <f t="shared" si="3"/>
        <v>0</v>
      </c>
      <c r="AB15" s="1">
        <f t="shared" si="3"/>
        <v>0</v>
      </c>
      <c r="AC15" s="1">
        <f t="shared" si="3"/>
        <v>0</v>
      </c>
    </row>
    <row r="16" spans="1:29" x14ac:dyDescent="0.3">
      <c r="A16" s="1" t="s">
        <v>266</v>
      </c>
      <c r="B16">
        <f>_xlfn.STDEV.P(B2:B12)</f>
        <v>0</v>
      </c>
      <c r="C16">
        <f t="shared" ref="C16:AC16" si="4">_xlfn.STDEV.P(C2:C12)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</row>
  </sheetData>
  <phoneticPr fontId="2" type="noConversion"/>
  <conditionalFormatting sqref="B2:AB12 B17:AB17 B13:AC16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13:AC15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12 AC17">
    <cfRule type="colorScale" priority="3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B44C-16BA-4CC5-A5F9-4999B532DBA5}">
  <dimension ref="A1:AC15"/>
  <sheetViews>
    <sheetView workbookViewId="0">
      <selection activeCell="A18" sqref="A18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267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0</v>
      </c>
    </row>
    <row r="3" spans="1:29" x14ac:dyDescent="0.3">
      <c r="A3" s="1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1" si="0">SUM(B3:AB3)</f>
        <v>0</v>
      </c>
    </row>
    <row r="4" spans="1:29" x14ac:dyDescent="0.3">
      <c r="A4" s="1" t="s">
        <v>268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0</v>
      </c>
    </row>
    <row r="5" spans="1:29" x14ac:dyDescent="0.3">
      <c r="A5" s="1" t="s">
        <v>269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0</v>
      </c>
    </row>
    <row r="6" spans="1:29" x14ac:dyDescent="0.3">
      <c r="A6" s="1" t="s">
        <v>270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0</v>
      </c>
    </row>
    <row r="7" spans="1:29" x14ac:dyDescent="0.3">
      <c r="A7" s="1" t="s">
        <v>271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0</v>
      </c>
    </row>
    <row r="8" spans="1:29" x14ac:dyDescent="0.3">
      <c r="A8" s="1" t="s">
        <v>272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>SUM(B8:AB8)</f>
        <v>0</v>
      </c>
    </row>
    <row r="9" spans="1:29" x14ac:dyDescent="0.3">
      <c r="A9" s="1" t="s">
        <v>273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0</v>
      </c>
    </row>
    <row r="10" spans="1:29" x14ac:dyDescent="0.3">
      <c r="A10" s="1" t="s">
        <v>274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0</v>
      </c>
    </row>
    <row r="11" spans="1:29" x14ac:dyDescent="0.3">
      <c r="A11" s="1" t="s">
        <v>275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0</v>
      </c>
    </row>
    <row r="12" spans="1:29" x14ac:dyDescent="0.3">
      <c r="A12" s="6" t="s">
        <v>237</v>
      </c>
      <c r="B12" s="6">
        <f>AVERAGE(B2:B11)</f>
        <v>0</v>
      </c>
      <c r="C12" s="6">
        <f t="shared" ref="C12:AC12" si="1">AVERAGE(C2:C11)</f>
        <v>0</v>
      </c>
      <c r="D12" s="6">
        <f t="shared" si="1"/>
        <v>0</v>
      </c>
      <c r="E12" s="6">
        <f t="shared" si="1"/>
        <v>0</v>
      </c>
      <c r="F12" s="6">
        <f t="shared" si="1"/>
        <v>0</v>
      </c>
      <c r="G12" s="6">
        <f t="shared" si="1"/>
        <v>0</v>
      </c>
      <c r="H12" s="6">
        <f t="shared" si="1"/>
        <v>0</v>
      </c>
      <c r="I12" s="6">
        <f t="shared" si="1"/>
        <v>0</v>
      </c>
      <c r="J12" s="6">
        <f t="shared" si="1"/>
        <v>0</v>
      </c>
      <c r="K12" s="6">
        <f t="shared" si="1"/>
        <v>0</v>
      </c>
      <c r="L12" s="6">
        <f t="shared" si="1"/>
        <v>0</v>
      </c>
      <c r="M12" s="6">
        <f t="shared" si="1"/>
        <v>0</v>
      </c>
      <c r="N12" s="6">
        <f t="shared" si="1"/>
        <v>0</v>
      </c>
      <c r="O12" s="6">
        <f t="shared" si="1"/>
        <v>0</v>
      </c>
      <c r="P12" s="6">
        <f t="shared" si="1"/>
        <v>0</v>
      </c>
      <c r="Q12" s="6">
        <f t="shared" si="1"/>
        <v>0</v>
      </c>
      <c r="R12" s="6">
        <f t="shared" si="1"/>
        <v>0</v>
      </c>
      <c r="S12" s="6">
        <f t="shared" si="1"/>
        <v>0</v>
      </c>
      <c r="T12" s="6">
        <f t="shared" si="1"/>
        <v>0</v>
      </c>
      <c r="U12" s="6">
        <f t="shared" si="1"/>
        <v>0</v>
      </c>
      <c r="V12" s="6">
        <f t="shared" si="1"/>
        <v>0</v>
      </c>
      <c r="W12" s="6">
        <f t="shared" si="1"/>
        <v>0</v>
      </c>
      <c r="X12" s="6">
        <f t="shared" si="1"/>
        <v>0</v>
      </c>
      <c r="Y12" s="6">
        <f t="shared" si="1"/>
        <v>0</v>
      </c>
      <c r="Z12" s="6">
        <f t="shared" si="1"/>
        <v>0</v>
      </c>
      <c r="AA12" s="6">
        <f t="shared" si="1"/>
        <v>0</v>
      </c>
      <c r="AB12" s="6">
        <f t="shared" si="1"/>
        <v>0</v>
      </c>
      <c r="AC12" s="6">
        <f t="shared" si="1"/>
        <v>0</v>
      </c>
    </row>
    <row r="13" spans="1:29" x14ac:dyDescent="0.3">
      <c r="A13" s="1" t="s">
        <v>264</v>
      </c>
      <c r="B13" s="1">
        <f>MEDIAN(B2:B11)</f>
        <v>0</v>
      </c>
      <c r="C13" s="1">
        <f t="shared" ref="C13:AC13" si="2">MEDIAN(C2:C11)</f>
        <v>0</v>
      </c>
      <c r="D13" s="1">
        <f t="shared" si="2"/>
        <v>0</v>
      </c>
      <c r="E13" s="1">
        <f t="shared" si="2"/>
        <v>0</v>
      </c>
      <c r="F13" s="1">
        <f t="shared" si="2"/>
        <v>0</v>
      </c>
      <c r="G13" s="1">
        <f t="shared" si="2"/>
        <v>0</v>
      </c>
      <c r="H13" s="1">
        <f t="shared" si="2"/>
        <v>0</v>
      </c>
      <c r="I13" s="1">
        <f t="shared" si="2"/>
        <v>0</v>
      </c>
      <c r="J13" s="1">
        <f t="shared" si="2"/>
        <v>0</v>
      </c>
      <c r="K13" s="1">
        <f t="shared" si="2"/>
        <v>0</v>
      </c>
      <c r="L13" s="1">
        <f t="shared" si="2"/>
        <v>0</v>
      </c>
      <c r="M13" s="1">
        <f t="shared" si="2"/>
        <v>0</v>
      </c>
      <c r="N13" s="1">
        <f t="shared" si="2"/>
        <v>0</v>
      </c>
      <c r="O13" s="1">
        <f t="shared" si="2"/>
        <v>0</v>
      </c>
      <c r="P13" s="1">
        <f t="shared" si="2"/>
        <v>0</v>
      </c>
      <c r="Q13" s="1">
        <f t="shared" si="2"/>
        <v>0</v>
      </c>
      <c r="R13" s="1">
        <f t="shared" si="2"/>
        <v>0</v>
      </c>
      <c r="S13" s="1">
        <f t="shared" si="2"/>
        <v>0</v>
      </c>
      <c r="T13" s="1">
        <f t="shared" si="2"/>
        <v>0</v>
      </c>
      <c r="U13" s="1">
        <f t="shared" si="2"/>
        <v>0</v>
      </c>
      <c r="V13" s="1">
        <f t="shared" si="2"/>
        <v>0</v>
      </c>
      <c r="W13" s="1">
        <f t="shared" si="2"/>
        <v>0</v>
      </c>
      <c r="X13" s="1">
        <f t="shared" si="2"/>
        <v>0</v>
      </c>
      <c r="Y13" s="1">
        <f t="shared" si="2"/>
        <v>0</v>
      </c>
      <c r="Z13" s="1">
        <f t="shared" si="2"/>
        <v>0</v>
      </c>
      <c r="AA13" s="1">
        <f t="shared" si="2"/>
        <v>0</v>
      </c>
      <c r="AB13" s="1">
        <f t="shared" si="2"/>
        <v>0</v>
      </c>
      <c r="AC13" s="1">
        <f t="shared" si="2"/>
        <v>0</v>
      </c>
    </row>
    <row r="14" spans="1:29" x14ac:dyDescent="0.3">
      <c r="A14" s="1" t="s">
        <v>265</v>
      </c>
      <c r="B14" s="1">
        <f>_xlfn.MODE.SNGL(B2:B11)</f>
        <v>0</v>
      </c>
      <c r="C14" s="1">
        <f t="shared" ref="C14:AC14" si="3">_xlfn.MODE.SNGL(C2:C11)</f>
        <v>0</v>
      </c>
      <c r="D14" s="1">
        <f t="shared" si="3"/>
        <v>0</v>
      </c>
      <c r="E14" s="1">
        <f t="shared" si="3"/>
        <v>0</v>
      </c>
      <c r="F14" s="1">
        <f t="shared" si="3"/>
        <v>0</v>
      </c>
      <c r="G14" s="1">
        <f t="shared" si="3"/>
        <v>0</v>
      </c>
      <c r="H14" s="1">
        <f t="shared" si="3"/>
        <v>0</v>
      </c>
      <c r="I14" s="1">
        <f t="shared" si="3"/>
        <v>0</v>
      </c>
      <c r="J14" s="1">
        <f t="shared" si="3"/>
        <v>0</v>
      </c>
      <c r="K14" s="1">
        <f t="shared" si="3"/>
        <v>0</v>
      </c>
      <c r="L14" s="1">
        <f t="shared" si="3"/>
        <v>0</v>
      </c>
      <c r="M14" s="1">
        <f t="shared" si="3"/>
        <v>0</v>
      </c>
      <c r="N14" s="1">
        <f t="shared" si="3"/>
        <v>0</v>
      </c>
      <c r="O14" s="1">
        <f t="shared" si="3"/>
        <v>0</v>
      </c>
      <c r="P14" s="1">
        <f t="shared" si="3"/>
        <v>0</v>
      </c>
      <c r="Q14" s="1">
        <f t="shared" si="3"/>
        <v>0</v>
      </c>
      <c r="R14" s="1">
        <f t="shared" si="3"/>
        <v>0</v>
      </c>
      <c r="S14" s="1">
        <f t="shared" si="3"/>
        <v>0</v>
      </c>
      <c r="T14" s="1">
        <f t="shared" si="3"/>
        <v>0</v>
      </c>
      <c r="U14" s="1">
        <f t="shared" si="3"/>
        <v>0</v>
      </c>
      <c r="V14" s="1">
        <f t="shared" si="3"/>
        <v>0</v>
      </c>
      <c r="W14" s="1">
        <f t="shared" si="3"/>
        <v>0</v>
      </c>
      <c r="X14" s="1">
        <f t="shared" si="3"/>
        <v>0</v>
      </c>
      <c r="Y14" s="1">
        <f t="shared" si="3"/>
        <v>0</v>
      </c>
      <c r="Z14" s="1">
        <f t="shared" si="3"/>
        <v>0</v>
      </c>
      <c r="AA14" s="1">
        <f t="shared" si="3"/>
        <v>0</v>
      </c>
      <c r="AB14" s="1">
        <f t="shared" si="3"/>
        <v>0</v>
      </c>
      <c r="AC14" s="1">
        <f t="shared" si="3"/>
        <v>0</v>
      </c>
    </row>
    <row r="15" spans="1:29" x14ac:dyDescent="0.3">
      <c r="A15" s="1" t="s">
        <v>266</v>
      </c>
      <c r="B15">
        <f>_xlfn.STDEV.P(B2:B11)</f>
        <v>0</v>
      </c>
      <c r="C15">
        <f t="shared" ref="C15:AC15" si="4">_xlfn.STDEV.P(C2:C11)</f>
        <v>0</v>
      </c>
      <c r="D15">
        <f t="shared" si="4"/>
        <v>0</v>
      </c>
      <c r="E15">
        <f t="shared" si="4"/>
        <v>0</v>
      </c>
      <c r="F15">
        <f t="shared" si="4"/>
        <v>0</v>
      </c>
      <c r="G15">
        <f t="shared" si="4"/>
        <v>0</v>
      </c>
      <c r="H15">
        <f t="shared" si="4"/>
        <v>0</v>
      </c>
      <c r="I15">
        <f t="shared" si="4"/>
        <v>0</v>
      </c>
      <c r="J15">
        <f t="shared" si="4"/>
        <v>0</v>
      </c>
      <c r="K15">
        <f t="shared" si="4"/>
        <v>0</v>
      </c>
      <c r="L15">
        <f t="shared" si="4"/>
        <v>0</v>
      </c>
      <c r="M15">
        <f t="shared" si="4"/>
        <v>0</v>
      </c>
      <c r="N15">
        <f t="shared" si="4"/>
        <v>0</v>
      </c>
      <c r="O15">
        <f t="shared" si="4"/>
        <v>0</v>
      </c>
      <c r="P15">
        <f t="shared" si="4"/>
        <v>0</v>
      </c>
      <c r="Q15">
        <f t="shared" si="4"/>
        <v>0</v>
      </c>
      <c r="R15">
        <f t="shared" si="4"/>
        <v>0</v>
      </c>
      <c r="S15">
        <f t="shared" si="4"/>
        <v>0</v>
      </c>
      <c r="T15">
        <f t="shared" si="4"/>
        <v>0</v>
      </c>
      <c r="U15">
        <f t="shared" si="4"/>
        <v>0</v>
      </c>
      <c r="V15">
        <f t="shared" si="4"/>
        <v>0</v>
      </c>
      <c r="W15">
        <f t="shared" si="4"/>
        <v>0</v>
      </c>
      <c r="X15">
        <f t="shared" si="4"/>
        <v>0</v>
      </c>
      <c r="Y15">
        <f t="shared" si="4"/>
        <v>0</v>
      </c>
      <c r="Z15">
        <f t="shared" si="4"/>
        <v>0</v>
      </c>
      <c r="AA15">
        <f t="shared" si="4"/>
        <v>0</v>
      </c>
      <c r="AB15">
        <f t="shared" si="4"/>
        <v>0</v>
      </c>
      <c r="AC15">
        <f t="shared" si="4"/>
        <v>0</v>
      </c>
    </row>
  </sheetData>
  <conditionalFormatting sqref="B2:AB11 B16:AB17 B12:AC15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12:AC14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11 AC16:AC17">
    <cfRule type="colorScale" priority="3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52C3-5636-444F-9961-73F8E76A2E00}">
  <dimension ref="A1:AC20"/>
  <sheetViews>
    <sheetView workbookViewId="0">
      <selection activeCell="O7" sqref="O7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276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1</v>
      </c>
    </row>
    <row r="3" spans="1:29" x14ac:dyDescent="0.3">
      <c r="A3" s="1" t="s">
        <v>277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6" si="0">SUM(B3:AB3)</f>
        <v>2</v>
      </c>
    </row>
    <row r="4" spans="1:29" x14ac:dyDescent="0.3">
      <c r="A4" s="1" t="s">
        <v>278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1</v>
      </c>
    </row>
    <row r="5" spans="1:29" x14ac:dyDescent="0.3">
      <c r="A5" s="17" t="s">
        <v>279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1</v>
      </c>
    </row>
    <row r="6" spans="1:29" x14ac:dyDescent="0.3">
      <c r="A6" s="24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1</v>
      </c>
    </row>
    <row r="7" spans="1:29" x14ac:dyDescent="0.3">
      <c r="A7" s="17" t="s">
        <v>280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2</v>
      </c>
    </row>
    <row r="8" spans="1:29" x14ac:dyDescent="0.3">
      <c r="A8" s="17" t="s">
        <v>281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>SUM(B8:AB8)</f>
        <v>1</v>
      </c>
    </row>
    <row r="9" spans="1:29" x14ac:dyDescent="0.3">
      <c r="A9" s="17" t="s">
        <v>282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0</v>
      </c>
    </row>
    <row r="10" spans="1:29" x14ac:dyDescent="0.3">
      <c r="A10" s="1" t="s">
        <v>283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1</v>
      </c>
    </row>
    <row r="11" spans="1:29" x14ac:dyDescent="0.3">
      <c r="A11" s="1" t="s">
        <v>284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0</v>
      </c>
    </row>
    <row r="12" spans="1:29" x14ac:dyDescent="0.3">
      <c r="A12" s="1" t="s">
        <v>285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0</v>
      </c>
    </row>
    <row r="13" spans="1:29" x14ac:dyDescent="0.3">
      <c r="A13" s="1" t="s">
        <v>286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 t="shared" si="0"/>
        <v>1</v>
      </c>
    </row>
    <row r="14" spans="1:29" x14ac:dyDescent="0.3">
      <c r="A14" s="1" t="s">
        <v>287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f t="shared" si="0"/>
        <v>0</v>
      </c>
    </row>
    <row r="15" spans="1:29" x14ac:dyDescent="0.3">
      <c r="A15" s="1" t="s">
        <v>288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f t="shared" si="0"/>
        <v>1</v>
      </c>
    </row>
    <row r="16" spans="1:29" x14ac:dyDescent="0.3">
      <c r="A16" s="25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f t="shared" si="0"/>
        <v>0</v>
      </c>
    </row>
    <row r="17" spans="1:29" x14ac:dyDescent="0.3">
      <c r="A17" s="6" t="s">
        <v>237</v>
      </c>
      <c r="B17" s="6">
        <f t="shared" ref="B17:AC17" si="1">AVERAGE(B2:B16)</f>
        <v>0</v>
      </c>
      <c r="C17" s="6">
        <f t="shared" si="1"/>
        <v>0</v>
      </c>
      <c r="D17" s="6">
        <f t="shared" si="1"/>
        <v>0</v>
      </c>
      <c r="E17" s="6">
        <f t="shared" si="1"/>
        <v>0</v>
      </c>
      <c r="F17" s="6">
        <f t="shared" si="1"/>
        <v>0</v>
      </c>
      <c r="G17" s="6">
        <f t="shared" si="1"/>
        <v>0</v>
      </c>
      <c r="H17" s="6">
        <f t="shared" si="1"/>
        <v>0</v>
      </c>
      <c r="I17" s="6">
        <f t="shared" si="1"/>
        <v>0</v>
      </c>
      <c r="J17" s="6">
        <f t="shared" si="1"/>
        <v>0</v>
      </c>
      <c r="K17" s="6">
        <f t="shared" si="1"/>
        <v>0</v>
      </c>
      <c r="L17" s="6">
        <f t="shared" si="1"/>
        <v>6.6666666666666666E-2</v>
      </c>
      <c r="M17" s="6">
        <f t="shared" si="1"/>
        <v>0.33333333333333331</v>
      </c>
      <c r="N17" s="6">
        <f t="shared" si="1"/>
        <v>0.2</v>
      </c>
      <c r="O17" s="6">
        <f t="shared" si="1"/>
        <v>0.2</v>
      </c>
      <c r="P17" s="6">
        <f t="shared" si="1"/>
        <v>0</v>
      </c>
      <c r="Q17" s="6">
        <f t="shared" si="1"/>
        <v>0</v>
      </c>
      <c r="R17" s="6">
        <f t="shared" si="1"/>
        <v>0</v>
      </c>
      <c r="S17" s="6">
        <f t="shared" si="1"/>
        <v>0</v>
      </c>
      <c r="T17" s="6">
        <f t="shared" si="1"/>
        <v>0</v>
      </c>
      <c r="U17" s="6">
        <f t="shared" si="1"/>
        <v>0</v>
      </c>
      <c r="V17" s="6">
        <f t="shared" si="1"/>
        <v>0</v>
      </c>
      <c r="W17" s="6">
        <f t="shared" si="1"/>
        <v>0</v>
      </c>
      <c r="X17" s="6">
        <f t="shared" si="1"/>
        <v>0</v>
      </c>
      <c r="Y17" s="6">
        <f t="shared" si="1"/>
        <v>0</v>
      </c>
      <c r="Z17" s="6">
        <f t="shared" si="1"/>
        <v>0</v>
      </c>
      <c r="AA17" s="6">
        <f t="shared" si="1"/>
        <v>0</v>
      </c>
      <c r="AB17" s="6">
        <f t="shared" si="1"/>
        <v>0</v>
      </c>
      <c r="AC17" s="6">
        <f t="shared" si="1"/>
        <v>0.8</v>
      </c>
    </row>
    <row r="18" spans="1:29" x14ac:dyDescent="0.3">
      <c r="A18" s="1" t="s">
        <v>264</v>
      </c>
      <c r="B18" s="1">
        <f t="shared" ref="B18:AC18" si="2">MEDIAN(B2:B16)</f>
        <v>0</v>
      </c>
      <c r="C18" s="1">
        <f t="shared" si="2"/>
        <v>0</v>
      </c>
      <c r="D18" s="1">
        <f t="shared" si="2"/>
        <v>0</v>
      </c>
      <c r="E18" s="1">
        <f t="shared" si="2"/>
        <v>0</v>
      </c>
      <c r="F18" s="1">
        <f t="shared" si="2"/>
        <v>0</v>
      </c>
      <c r="G18" s="1">
        <f t="shared" si="2"/>
        <v>0</v>
      </c>
      <c r="H18" s="1">
        <f t="shared" si="2"/>
        <v>0</v>
      </c>
      <c r="I18" s="1">
        <f t="shared" si="2"/>
        <v>0</v>
      </c>
      <c r="J18" s="1">
        <f t="shared" si="2"/>
        <v>0</v>
      </c>
      <c r="K18" s="1">
        <f t="shared" si="2"/>
        <v>0</v>
      </c>
      <c r="L18" s="1">
        <f t="shared" si="2"/>
        <v>0</v>
      </c>
      <c r="M18" s="1">
        <f t="shared" si="2"/>
        <v>0</v>
      </c>
      <c r="N18" s="1">
        <f t="shared" si="2"/>
        <v>0</v>
      </c>
      <c r="O18" s="1">
        <f t="shared" si="2"/>
        <v>0</v>
      </c>
      <c r="P18" s="1">
        <f t="shared" si="2"/>
        <v>0</v>
      </c>
      <c r="Q18" s="1">
        <f t="shared" si="2"/>
        <v>0</v>
      </c>
      <c r="R18" s="1">
        <f t="shared" si="2"/>
        <v>0</v>
      </c>
      <c r="S18" s="1">
        <f t="shared" si="2"/>
        <v>0</v>
      </c>
      <c r="T18" s="1">
        <f t="shared" si="2"/>
        <v>0</v>
      </c>
      <c r="U18" s="1">
        <f t="shared" si="2"/>
        <v>0</v>
      </c>
      <c r="V18" s="1">
        <f t="shared" si="2"/>
        <v>0</v>
      </c>
      <c r="W18" s="1">
        <f t="shared" si="2"/>
        <v>0</v>
      </c>
      <c r="X18" s="1">
        <f t="shared" si="2"/>
        <v>0</v>
      </c>
      <c r="Y18" s="1">
        <f t="shared" si="2"/>
        <v>0</v>
      </c>
      <c r="Z18" s="1">
        <f t="shared" si="2"/>
        <v>0</v>
      </c>
      <c r="AA18" s="1">
        <f t="shared" si="2"/>
        <v>0</v>
      </c>
      <c r="AB18" s="1">
        <f t="shared" si="2"/>
        <v>0</v>
      </c>
      <c r="AC18" s="1">
        <f t="shared" si="2"/>
        <v>1</v>
      </c>
    </row>
    <row r="19" spans="1:29" x14ac:dyDescent="0.3">
      <c r="A19" s="1" t="s">
        <v>265</v>
      </c>
      <c r="B19" s="1">
        <f t="shared" ref="B19:AC19" si="3">_xlfn.MODE.SNGL(B2:B16)</f>
        <v>0</v>
      </c>
      <c r="C19" s="1">
        <f t="shared" si="3"/>
        <v>0</v>
      </c>
      <c r="D19" s="1">
        <f t="shared" si="3"/>
        <v>0</v>
      </c>
      <c r="E19" s="1">
        <f t="shared" si="3"/>
        <v>0</v>
      </c>
      <c r="F19" s="1">
        <f t="shared" si="3"/>
        <v>0</v>
      </c>
      <c r="G19" s="1">
        <f t="shared" si="3"/>
        <v>0</v>
      </c>
      <c r="H19" s="1">
        <f t="shared" si="3"/>
        <v>0</v>
      </c>
      <c r="I19" s="1">
        <f t="shared" si="3"/>
        <v>0</v>
      </c>
      <c r="J19" s="1">
        <f t="shared" si="3"/>
        <v>0</v>
      </c>
      <c r="K19" s="1">
        <f t="shared" si="3"/>
        <v>0</v>
      </c>
      <c r="L19" s="1">
        <f t="shared" si="3"/>
        <v>0</v>
      </c>
      <c r="M19" s="1">
        <f t="shared" si="3"/>
        <v>0</v>
      </c>
      <c r="N19" s="1">
        <f t="shared" si="3"/>
        <v>0</v>
      </c>
      <c r="O19" s="1">
        <f t="shared" si="3"/>
        <v>0</v>
      </c>
      <c r="P19" s="1">
        <f t="shared" si="3"/>
        <v>0</v>
      </c>
      <c r="Q19" s="1">
        <f t="shared" si="3"/>
        <v>0</v>
      </c>
      <c r="R19" s="1">
        <f t="shared" si="3"/>
        <v>0</v>
      </c>
      <c r="S19" s="1">
        <f t="shared" si="3"/>
        <v>0</v>
      </c>
      <c r="T19" s="1">
        <f t="shared" si="3"/>
        <v>0</v>
      </c>
      <c r="U19" s="1">
        <f t="shared" si="3"/>
        <v>0</v>
      </c>
      <c r="V19" s="1">
        <f t="shared" si="3"/>
        <v>0</v>
      </c>
      <c r="W19" s="1">
        <f t="shared" si="3"/>
        <v>0</v>
      </c>
      <c r="X19" s="1">
        <f t="shared" si="3"/>
        <v>0</v>
      </c>
      <c r="Y19" s="1">
        <f t="shared" si="3"/>
        <v>0</v>
      </c>
      <c r="Z19" s="1">
        <f t="shared" si="3"/>
        <v>0</v>
      </c>
      <c r="AA19" s="1">
        <f t="shared" si="3"/>
        <v>0</v>
      </c>
      <c r="AB19" s="1">
        <f t="shared" si="3"/>
        <v>0</v>
      </c>
      <c r="AC19" s="1">
        <f t="shared" si="3"/>
        <v>1</v>
      </c>
    </row>
    <row r="20" spans="1:29" x14ac:dyDescent="0.3">
      <c r="A20" s="1" t="s">
        <v>266</v>
      </c>
      <c r="B20">
        <f t="shared" ref="B20:AC20" si="4">_xlfn.STDEV.P(B2:B16)</f>
        <v>0</v>
      </c>
      <c r="C20">
        <f t="shared" si="4"/>
        <v>0</v>
      </c>
      <c r="D20">
        <f t="shared" si="4"/>
        <v>0</v>
      </c>
      <c r="E20">
        <f t="shared" si="4"/>
        <v>0</v>
      </c>
      <c r="F20">
        <f t="shared" si="4"/>
        <v>0</v>
      </c>
      <c r="G20">
        <f t="shared" si="4"/>
        <v>0</v>
      </c>
      <c r="H20">
        <f t="shared" si="4"/>
        <v>0</v>
      </c>
      <c r="I20">
        <f t="shared" si="4"/>
        <v>0</v>
      </c>
      <c r="J20">
        <f t="shared" si="4"/>
        <v>0</v>
      </c>
      <c r="K20">
        <f t="shared" si="4"/>
        <v>0</v>
      </c>
      <c r="L20">
        <f t="shared" si="4"/>
        <v>0.24944382578492943</v>
      </c>
      <c r="M20">
        <f t="shared" si="4"/>
        <v>0.47140452079103168</v>
      </c>
      <c r="N20">
        <f t="shared" si="4"/>
        <v>0.54160256030906406</v>
      </c>
      <c r="O20">
        <f t="shared" si="4"/>
        <v>0.4</v>
      </c>
      <c r="P20">
        <f t="shared" si="4"/>
        <v>0</v>
      </c>
      <c r="Q20">
        <f t="shared" si="4"/>
        <v>0</v>
      </c>
      <c r="R20">
        <f t="shared" si="4"/>
        <v>0</v>
      </c>
      <c r="S20">
        <f t="shared" si="4"/>
        <v>0</v>
      </c>
      <c r="T20">
        <f t="shared" si="4"/>
        <v>0</v>
      </c>
      <c r="U20">
        <f t="shared" si="4"/>
        <v>0</v>
      </c>
      <c r="V20">
        <f t="shared" si="4"/>
        <v>0</v>
      </c>
      <c r="W20">
        <f t="shared" si="4"/>
        <v>0</v>
      </c>
      <c r="X20">
        <f t="shared" si="4"/>
        <v>0</v>
      </c>
      <c r="Y20">
        <f t="shared" si="4"/>
        <v>0</v>
      </c>
      <c r="Z20">
        <f t="shared" si="4"/>
        <v>0</v>
      </c>
      <c r="AA20">
        <f t="shared" si="4"/>
        <v>0</v>
      </c>
      <c r="AB20">
        <f t="shared" si="4"/>
        <v>0</v>
      </c>
      <c r="AC20">
        <f t="shared" si="4"/>
        <v>0.65319726474218087</v>
      </c>
    </row>
  </sheetData>
  <conditionalFormatting sqref="B2:AB16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17:AC19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16">
    <cfRule type="colorScale" priority="3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44F7-68D8-4C34-9CE0-4C72F9AF52D8}">
  <dimension ref="A1:AC13"/>
  <sheetViews>
    <sheetView workbookViewId="0">
      <selection activeCell="T19" sqref="T19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290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3</v>
      </c>
    </row>
    <row r="3" spans="1:29" x14ac:dyDescent="0.3">
      <c r="A3" s="1" t="s">
        <v>291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9" si="0">SUM(B3:AB3)</f>
        <v>2</v>
      </c>
    </row>
    <row r="4" spans="1:29" x14ac:dyDescent="0.3">
      <c r="A4" s="1" t="s">
        <v>292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3</v>
      </c>
    </row>
    <row r="5" spans="1:29" x14ac:dyDescent="0.3">
      <c r="A5" s="1" t="s">
        <v>293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0</v>
      </c>
    </row>
    <row r="6" spans="1:29" ht="14.95" thickBot="1" x14ac:dyDescent="0.35">
      <c r="A6" s="1" t="s">
        <v>294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1</v>
      </c>
    </row>
    <row r="7" spans="1:29" ht="14.95" thickBot="1" x14ac:dyDescent="0.35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28">
        <v>2</v>
      </c>
      <c r="N7" s="29">
        <v>0</v>
      </c>
      <c r="O7" s="29">
        <v>3</v>
      </c>
      <c r="P7" s="29">
        <v>0</v>
      </c>
      <c r="Q7" s="30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6</v>
      </c>
    </row>
    <row r="8" spans="1:29" x14ac:dyDescent="0.3">
      <c r="A8" s="1" t="s">
        <v>295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>SUM(B8:AB8)</f>
        <v>3</v>
      </c>
    </row>
    <row r="9" spans="1:29" x14ac:dyDescent="0.3">
      <c r="A9" s="1" t="s">
        <v>296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0</v>
      </c>
    </row>
    <row r="10" spans="1:29" x14ac:dyDescent="0.3">
      <c r="A10" s="6" t="s">
        <v>237</v>
      </c>
      <c r="B10" s="6">
        <f>AVERAGE(B2:B9)</f>
        <v>0</v>
      </c>
      <c r="C10" s="6">
        <f t="shared" ref="C10:AC10" si="1">AVERAGE(C2:C9)</f>
        <v>0</v>
      </c>
      <c r="D10" s="6">
        <f t="shared" si="1"/>
        <v>0</v>
      </c>
      <c r="E10" s="6">
        <f t="shared" si="1"/>
        <v>0</v>
      </c>
      <c r="F10" s="6">
        <f t="shared" si="1"/>
        <v>0</v>
      </c>
      <c r="G10" s="6">
        <f t="shared" si="1"/>
        <v>0</v>
      </c>
      <c r="H10" s="6">
        <f t="shared" si="1"/>
        <v>0</v>
      </c>
      <c r="I10" s="6">
        <f t="shared" si="1"/>
        <v>0</v>
      </c>
      <c r="J10" s="6">
        <f t="shared" si="1"/>
        <v>0</v>
      </c>
      <c r="K10" s="6">
        <f t="shared" si="1"/>
        <v>0</v>
      </c>
      <c r="L10" s="6">
        <f t="shared" si="1"/>
        <v>0</v>
      </c>
      <c r="M10" s="6">
        <f t="shared" si="1"/>
        <v>0.625</v>
      </c>
      <c r="N10" s="6">
        <f t="shared" si="1"/>
        <v>0.875</v>
      </c>
      <c r="O10" s="6">
        <f t="shared" si="1"/>
        <v>0.375</v>
      </c>
      <c r="P10" s="6">
        <f t="shared" si="1"/>
        <v>0.25</v>
      </c>
      <c r="Q10" s="6">
        <f t="shared" si="1"/>
        <v>0.125</v>
      </c>
      <c r="R10" s="6">
        <f t="shared" si="1"/>
        <v>0</v>
      </c>
      <c r="S10" s="6">
        <f t="shared" si="1"/>
        <v>0</v>
      </c>
      <c r="T10" s="6">
        <f t="shared" si="1"/>
        <v>0</v>
      </c>
      <c r="U10" s="6">
        <f t="shared" si="1"/>
        <v>0</v>
      </c>
      <c r="V10" s="6">
        <f t="shared" si="1"/>
        <v>0</v>
      </c>
      <c r="W10" s="6">
        <f t="shared" si="1"/>
        <v>0</v>
      </c>
      <c r="X10" s="6">
        <f t="shared" si="1"/>
        <v>0</v>
      </c>
      <c r="Y10" s="6">
        <f t="shared" si="1"/>
        <v>0</v>
      </c>
      <c r="Z10" s="6">
        <f t="shared" si="1"/>
        <v>0</v>
      </c>
      <c r="AA10" s="6">
        <f t="shared" si="1"/>
        <v>0</v>
      </c>
      <c r="AB10" s="6">
        <f t="shared" si="1"/>
        <v>0</v>
      </c>
      <c r="AC10" s="6">
        <f t="shared" si="1"/>
        <v>2.25</v>
      </c>
    </row>
    <row r="11" spans="1:29" x14ac:dyDescent="0.3">
      <c r="A11" s="1" t="s">
        <v>264</v>
      </c>
      <c r="B11" s="1">
        <f>MEDIAN(B2:B9)</f>
        <v>0</v>
      </c>
      <c r="C11" s="1">
        <f t="shared" ref="C11:AC11" si="2">MEDIAN(C2:C9)</f>
        <v>0</v>
      </c>
      <c r="D11" s="1">
        <f t="shared" si="2"/>
        <v>0</v>
      </c>
      <c r="E11" s="1">
        <f t="shared" si="2"/>
        <v>0</v>
      </c>
      <c r="F11" s="1">
        <f t="shared" si="2"/>
        <v>0</v>
      </c>
      <c r="G11" s="1">
        <f t="shared" si="2"/>
        <v>0</v>
      </c>
      <c r="H11" s="1">
        <f t="shared" si="2"/>
        <v>0</v>
      </c>
      <c r="I11" s="1">
        <f t="shared" si="2"/>
        <v>0</v>
      </c>
      <c r="J11" s="1">
        <f t="shared" si="2"/>
        <v>0</v>
      </c>
      <c r="K11" s="1">
        <f t="shared" si="2"/>
        <v>0</v>
      </c>
      <c r="L11" s="1">
        <f t="shared" si="2"/>
        <v>0</v>
      </c>
      <c r="M11" s="1">
        <f t="shared" si="2"/>
        <v>0.5</v>
      </c>
      <c r="N11" s="1">
        <f t="shared" si="2"/>
        <v>0.5</v>
      </c>
      <c r="O11" s="1">
        <f t="shared" si="2"/>
        <v>0</v>
      </c>
      <c r="P11" s="1">
        <f t="shared" si="2"/>
        <v>0</v>
      </c>
      <c r="Q11" s="1">
        <f t="shared" si="2"/>
        <v>0</v>
      </c>
      <c r="R11" s="1">
        <f t="shared" si="2"/>
        <v>0</v>
      </c>
      <c r="S11" s="1">
        <f t="shared" si="2"/>
        <v>0</v>
      </c>
      <c r="T11" s="1">
        <f t="shared" si="2"/>
        <v>0</v>
      </c>
      <c r="U11" s="1">
        <f t="shared" si="2"/>
        <v>0</v>
      </c>
      <c r="V11" s="1">
        <f t="shared" si="2"/>
        <v>0</v>
      </c>
      <c r="W11" s="1">
        <f t="shared" si="2"/>
        <v>0</v>
      </c>
      <c r="X11" s="1">
        <f t="shared" si="2"/>
        <v>0</v>
      </c>
      <c r="Y11" s="1">
        <f t="shared" si="2"/>
        <v>0</v>
      </c>
      <c r="Z11" s="1">
        <f t="shared" si="2"/>
        <v>0</v>
      </c>
      <c r="AA11" s="1">
        <f t="shared" si="2"/>
        <v>0</v>
      </c>
      <c r="AB11" s="1">
        <f t="shared" si="2"/>
        <v>0</v>
      </c>
      <c r="AC11" s="1">
        <f t="shared" si="2"/>
        <v>2.5</v>
      </c>
    </row>
    <row r="12" spans="1:29" x14ac:dyDescent="0.3">
      <c r="A12" s="1" t="s">
        <v>265</v>
      </c>
      <c r="B12" s="1">
        <f>_xlfn.MODE.SNGL(B2:B9)</f>
        <v>0</v>
      </c>
      <c r="C12" s="1">
        <f t="shared" ref="C12:AC12" si="3">_xlfn.MODE.SNGL(C2:C9)</f>
        <v>0</v>
      </c>
      <c r="D12" s="1">
        <f t="shared" si="3"/>
        <v>0</v>
      </c>
      <c r="E12" s="1">
        <f t="shared" si="3"/>
        <v>0</v>
      </c>
      <c r="F12" s="1">
        <f t="shared" si="3"/>
        <v>0</v>
      </c>
      <c r="G12" s="1">
        <f t="shared" si="3"/>
        <v>0</v>
      </c>
      <c r="H12" s="1">
        <f t="shared" si="3"/>
        <v>0</v>
      </c>
      <c r="I12" s="1">
        <f t="shared" si="3"/>
        <v>0</v>
      </c>
      <c r="J12" s="1">
        <f t="shared" si="3"/>
        <v>0</v>
      </c>
      <c r="K12" s="1">
        <f t="shared" si="3"/>
        <v>0</v>
      </c>
      <c r="L12" s="1">
        <f t="shared" si="3"/>
        <v>0</v>
      </c>
      <c r="M12" s="1">
        <f t="shared" si="3"/>
        <v>0</v>
      </c>
      <c r="N12" s="1">
        <f t="shared" si="3"/>
        <v>0</v>
      </c>
      <c r="O12" s="1">
        <f t="shared" si="3"/>
        <v>0</v>
      </c>
      <c r="P12" s="1">
        <f t="shared" si="3"/>
        <v>0</v>
      </c>
      <c r="Q12" s="1">
        <f t="shared" si="3"/>
        <v>0</v>
      </c>
      <c r="R12" s="1">
        <f t="shared" si="3"/>
        <v>0</v>
      </c>
      <c r="S12" s="1">
        <f t="shared" si="3"/>
        <v>0</v>
      </c>
      <c r="T12" s="1">
        <f t="shared" si="3"/>
        <v>0</v>
      </c>
      <c r="U12" s="1">
        <f t="shared" si="3"/>
        <v>0</v>
      </c>
      <c r="V12" s="1">
        <f t="shared" si="3"/>
        <v>0</v>
      </c>
      <c r="W12" s="1">
        <f t="shared" si="3"/>
        <v>0</v>
      </c>
      <c r="X12" s="1">
        <f t="shared" si="3"/>
        <v>0</v>
      </c>
      <c r="Y12" s="1">
        <f t="shared" si="3"/>
        <v>0</v>
      </c>
      <c r="Z12" s="1">
        <f t="shared" si="3"/>
        <v>0</v>
      </c>
      <c r="AA12" s="1">
        <f t="shared" si="3"/>
        <v>0</v>
      </c>
      <c r="AB12" s="1">
        <f t="shared" si="3"/>
        <v>0</v>
      </c>
      <c r="AC12" s="1">
        <f t="shared" si="3"/>
        <v>3</v>
      </c>
    </row>
    <row r="13" spans="1:29" x14ac:dyDescent="0.3">
      <c r="A13" s="1" t="s">
        <v>266</v>
      </c>
      <c r="B13">
        <f>_xlfn.STDEV.P(B2:B9)</f>
        <v>0</v>
      </c>
      <c r="C13">
        <f t="shared" ref="C13:AC13" si="4">_xlfn.STDEV.P(C2:C9)</f>
        <v>0</v>
      </c>
      <c r="D13">
        <f t="shared" si="4"/>
        <v>0</v>
      </c>
      <c r="E13">
        <f t="shared" si="4"/>
        <v>0</v>
      </c>
      <c r="F13">
        <f t="shared" si="4"/>
        <v>0</v>
      </c>
      <c r="G13">
        <f t="shared" si="4"/>
        <v>0</v>
      </c>
      <c r="H13">
        <f t="shared" si="4"/>
        <v>0</v>
      </c>
      <c r="I13">
        <f t="shared" si="4"/>
        <v>0</v>
      </c>
      <c r="J13">
        <f t="shared" si="4"/>
        <v>0</v>
      </c>
      <c r="K13">
        <f t="shared" si="4"/>
        <v>0</v>
      </c>
      <c r="L13">
        <f t="shared" si="4"/>
        <v>0</v>
      </c>
      <c r="M13">
        <f t="shared" si="4"/>
        <v>0.69597054535375269</v>
      </c>
      <c r="N13">
        <f t="shared" si="4"/>
        <v>1.0532687216470449</v>
      </c>
      <c r="O13">
        <f t="shared" si="4"/>
        <v>0.99215674164922152</v>
      </c>
      <c r="P13">
        <f t="shared" si="4"/>
        <v>0.4330127018922193</v>
      </c>
      <c r="Q13">
        <f t="shared" si="4"/>
        <v>0.33071891388307384</v>
      </c>
      <c r="R13">
        <f t="shared" si="4"/>
        <v>0</v>
      </c>
      <c r="S13">
        <f t="shared" si="4"/>
        <v>0</v>
      </c>
      <c r="T13">
        <f t="shared" si="4"/>
        <v>0</v>
      </c>
      <c r="U13">
        <f t="shared" si="4"/>
        <v>0</v>
      </c>
      <c r="V13">
        <f t="shared" si="4"/>
        <v>0</v>
      </c>
      <c r="W13">
        <f t="shared" si="4"/>
        <v>0</v>
      </c>
      <c r="X13">
        <f t="shared" si="4"/>
        <v>0</v>
      </c>
      <c r="Y13">
        <f t="shared" si="4"/>
        <v>0</v>
      </c>
      <c r="Z13">
        <f t="shared" si="4"/>
        <v>0</v>
      </c>
      <c r="AA13">
        <f t="shared" si="4"/>
        <v>0</v>
      </c>
      <c r="AB13">
        <f t="shared" si="4"/>
        <v>0</v>
      </c>
      <c r="AC13">
        <f t="shared" si="4"/>
        <v>1.8540496217739157</v>
      </c>
    </row>
  </sheetData>
  <conditionalFormatting sqref="B2:AB9 B14:AB17 B10:AC13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10:AC12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9 AC14:AC17">
    <cfRule type="colorScale" priority="3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F928-C2D3-4718-8C89-48F1BC7EE7F2}">
  <dimension ref="A1:AC19"/>
  <sheetViews>
    <sheetView workbookViewId="0">
      <selection activeCell="A3" sqref="A3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297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0</v>
      </c>
    </row>
    <row r="3" spans="1:29" x14ac:dyDescent="0.3">
      <c r="A3" s="1" t="s">
        <v>55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5" si="0">SUM(B3:AB3)</f>
        <v>2</v>
      </c>
    </row>
    <row r="4" spans="1:29" x14ac:dyDescent="0.3">
      <c r="A4" s="1" t="s">
        <v>298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0</v>
      </c>
    </row>
    <row r="5" spans="1:29" x14ac:dyDescent="0.3">
      <c r="A5" s="1" t="s">
        <v>299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0</v>
      </c>
    </row>
    <row r="6" spans="1:29" x14ac:dyDescent="0.3">
      <c r="A6" s="1" t="s">
        <v>300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0</v>
      </c>
    </row>
    <row r="7" spans="1:29" x14ac:dyDescent="0.3">
      <c r="A7" s="20" t="s">
        <v>301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0</v>
      </c>
    </row>
    <row r="8" spans="1:29" x14ac:dyDescent="0.3">
      <c r="A8" s="20" t="s">
        <v>302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>SUM(B8:AB8)</f>
        <v>0</v>
      </c>
    </row>
    <row r="9" spans="1:29" x14ac:dyDescent="0.3">
      <c r="A9" s="1" t="s">
        <v>303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0</v>
      </c>
    </row>
    <row r="10" spans="1:29" x14ac:dyDescent="0.3">
      <c r="A10" s="26" t="s">
        <v>304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0</v>
      </c>
    </row>
    <row r="11" spans="1:29" x14ac:dyDescent="0.3">
      <c r="A11" s="1" t="s">
        <v>305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0</v>
      </c>
    </row>
    <row r="12" spans="1:29" x14ac:dyDescent="0.3">
      <c r="A12" s="20" t="s">
        <v>306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0</v>
      </c>
    </row>
    <row r="13" spans="1:29" x14ac:dyDescent="0.3">
      <c r="A13" s="20" t="s">
        <v>307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>SUM(B13:AB13)</f>
        <v>0</v>
      </c>
    </row>
    <row r="14" spans="1:29" x14ac:dyDescent="0.3">
      <c r="A14" s="1" t="s">
        <v>308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f t="shared" si="0"/>
        <v>0</v>
      </c>
    </row>
    <row r="15" spans="1:29" x14ac:dyDescent="0.3">
      <c r="A15" s="1" t="s">
        <v>309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f t="shared" si="0"/>
        <v>0</v>
      </c>
    </row>
    <row r="16" spans="1:29" x14ac:dyDescent="0.3">
      <c r="A16" s="6" t="s">
        <v>237</v>
      </c>
      <c r="B16" s="6">
        <f t="shared" ref="B16:AC16" si="1">AVERAGE(B2:B15)</f>
        <v>0</v>
      </c>
      <c r="C16" s="6">
        <f t="shared" si="1"/>
        <v>0</v>
      </c>
      <c r="D16" s="6">
        <f t="shared" si="1"/>
        <v>0</v>
      </c>
      <c r="E16" s="6">
        <f t="shared" si="1"/>
        <v>0</v>
      </c>
      <c r="F16" s="6">
        <f t="shared" si="1"/>
        <v>0</v>
      </c>
      <c r="G16" s="6">
        <f t="shared" si="1"/>
        <v>7.1428571428571425E-2</v>
      </c>
      <c r="H16" s="6">
        <f t="shared" si="1"/>
        <v>7.1428571428571425E-2</v>
      </c>
      <c r="I16" s="6">
        <f t="shared" si="1"/>
        <v>0</v>
      </c>
      <c r="J16" s="6">
        <f t="shared" si="1"/>
        <v>0</v>
      </c>
      <c r="K16" s="6">
        <f t="shared" si="1"/>
        <v>0</v>
      </c>
      <c r="L16" s="6">
        <f t="shared" si="1"/>
        <v>0</v>
      </c>
      <c r="M16" s="6">
        <f t="shared" si="1"/>
        <v>0</v>
      </c>
      <c r="N16" s="6">
        <f t="shared" si="1"/>
        <v>0</v>
      </c>
      <c r="O16" s="6">
        <f t="shared" si="1"/>
        <v>0</v>
      </c>
      <c r="P16" s="6">
        <f t="shared" si="1"/>
        <v>0</v>
      </c>
      <c r="Q16" s="6">
        <f t="shared" si="1"/>
        <v>0</v>
      </c>
      <c r="R16" s="6">
        <f t="shared" si="1"/>
        <v>0</v>
      </c>
      <c r="S16" s="6">
        <f t="shared" si="1"/>
        <v>0</v>
      </c>
      <c r="T16" s="6">
        <f t="shared" si="1"/>
        <v>0</v>
      </c>
      <c r="U16" s="6">
        <f t="shared" si="1"/>
        <v>0</v>
      </c>
      <c r="V16" s="6">
        <f t="shared" si="1"/>
        <v>0</v>
      </c>
      <c r="W16" s="6">
        <f t="shared" si="1"/>
        <v>0</v>
      </c>
      <c r="X16" s="6">
        <f t="shared" si="1"/>
        <v>0</v>
      </c>
      <c r="Y16" s="6">
        <f t="shared" si="1"/>
        <v>0</v>
      </c>
      <c r="Z16" s="6">
        <f t="shared" si="1"/>
        <v>0</v>
      </c>
      <c r="AA16" s="6">
        <f t="shared" si="1"/>
        <v>0</v>
      </c>
      <c r="AB16" s="6">
        <f t="shared" si="1"/>
        <v>0</v>
      </c>
      <c r="AC16" s="6">
        <f t="shared" si="1"/>
        <v>0.14285714285714285</v>
      </c>
    </row>
    <row r="17" spans="1:29" x14ac:dyDescent="0.3">
      <c r="A17" s="1" t="s">
        <v>264</v>
      </c>
      <c r="B17" s="1">
        <f t="shared" ref="B17:AC17" si="2">MEDIAN(B2:B15)</f>
        <v>0</v>
      </c>
      <c r="C17" s="1">
        <f t="shared" si="2"/>
        <v>0</v>
      </c>
      <c r="D17" s="1">
        <f t="shared" si="2"/>
        <v>0</v>
      </c>
      <c r="E17" s="1">
        <f t="shared" si="2"/>
        <v>0</v>
      </c>
      <c r="F17" s="1">
        <f t="shared" si="2"/>
        <v>0</v>
      </c>
      <c r="G17" s="1">
        <f t="shared" si="2"/>
        <v>0</v>
      </c>
      <c r="H17" s="1">
        <f t="shared" si="2"/>
        <v>0</v>
      </c>
      <c r="I17" s="1">
        <f t="shared" si="2"/>
        <v>0</v>
      </c>
      <c r="J17" s="1">
        <f t="shared" si="2"/>
        <v>0</v>
      </c>
      <c r="K17" s="1">
        <f t="shared" si="2"/>
        <v>0</v>
      </c>
      <c r="L17" s="1">
        <f t="shared" si="2"/>
        <v>0</v>
      </c>
      <c r="M17" s="1">
        <f t="shared" si="2"/>
        <v>0</v>
      </c>
      <c r="N17" s="1">
        <f t="shared" si="2"/>
        <v>0</v>
      </c>
      <c r="O17" s="1">
        <f t="shared" si="2"/>
        <v>0</v>
      </c>
      <c r="P17" s="1">
        <f t="shared" si="2"/>
        <v>0</v>
      </c>
      <c r="Q17" s="1">
        <f t="shared" si="2"/>
        <v>0</v>
      </c>
      <c r="R17" s="1">
        <f t="shared" si="2"/>
        <v>0</v>
      </c>
      <c r="S17" s="1">
        <f t="shared" si="2"/>
        <v>0</v>
      </c>
      <c r="T17" s="1">
        <f t="shared" si="2"/>
        <v>0</v>
      </c>
      <c r="U17" s="1">
        <f t="shared" si="2"/>
        <v>0</v>
      </c>
      <c r="V17" s="1">
        <f t="shared" si="2"/>
        <v>0</v>
      </c>
      <c r="W17" s="1">
        <f t="shared" si="2"/>
        <v>0</v>
      </c>
      <c r="X17" s="1">
        <f t="shared" si="2"/>
        <v>0</v>
      </c>
      <c r="Y17" s="1">
        <f t="shared" si="2"/>
        <v>0</v>
      </c>
      <c r="Z17" s="1">
        <f t="shared" si="2"/>
        <v>0</v>
      </c>
      <c r="AA17" s="1">
        <f t="shared" si="2"/>
        <v>0</v>
      </c>
      <c r="AB17" s="1">
        <f t="shared" si="2"/>
        <v>0</v>
      </c>
      <c r="AC17" s="1">
        <f t="shared" si="2"/>
        <v>0</v>
      </c>
    </row>
    <row r="18" spans="1:29" x14ac:dyDescent="0.3">
      <c r="A18" s="1" t="s">
        <v>265</v>
      </c>
      <c r="B18" s="1">
        <f t="shared" ref="B18:AC18" si="3">_xlfn.MODE.SNGL(B2:B15)</f>
        <v>0</v>
      </c>
      <c r="C18" s="1">
        <f t="shared" si="3"/>
        <v>0</v>
      </c>
      <c r="D18" s="1">
        <f t="shared" si="3"/>
        <v>0</v>
      </c>
      <c r="E18" s="1">
        <f t="shared" si="3"/>
        <v>0</v>
      </c>
      <c r="F18" s="1">
        <f t="shared" si="3"/>
        <v>0</v>
      </c>
      <c r="G18" s="1">
        <f t="shared" si="3"/>
        <v>0</v>
      </c>
      <c r="H18" s="1">
        <f t="shared" si="3"/>
        <v>0</v>
      </c>
      <c r="I18" s="1">
        <f t="shared" si="3"/>
        <v>0</v>
      </c>
      <c r="J18" s="1">
        <f t="shared" si="3"/>
        <v>0</v>
      </c>
      <c r="K18" s="1">
        <f t="shared" si="3"/>
        <v>0</v>
      </c>
      <c r="L18" s="1">
        <f t="shared" si="3"/>
        <v>0</v>
      </c>
      <c r="M18" s="1">
        <f t="shared" si="3"/>
        <v>0</v>
      </c>
      <c r="N18" s="1">
        <f t="shared" si="3"/>
        <v>0</v>
      </c>
      <c r="O18" s="1">
        <f t="shared" si="3"/>
        <v>0</v>
      </c>
      <c r="P18" s="1">
        <f t="shared" si="3"/>
        <v>0</v>
      </c>
      <c r="Q18" s="1">
        <f t="shared" si="3"/>
        <v>0</v>
      </c>
      <c r="R18" s="1">
        <f t="shared" si="3"/>
        <v>0</v>
      </c>
      <c r="S18" s="1">
        <f t="shared" si="3"/>
        <v>0</v>
      </c>
      <c r="T18" s="1">
        <f t="shared" si="3"/>
        <v>0</v>
      </c>
      <c r="U18" s="1">
        <f t="shared" si="3"/>
        <v>0</v>
      </c>
      <c r="V18" s="1">
        <f t="shared" si="3"/>
        <v>0</v>
      </c>
      <c r="W18" s="1">
        <f t="shared" si="3"/>
        <v>0</v>
      </c>
      <c r="X18" s="1">
        <f t="shared" si="3"/>
        <v>0</v>
      </c>
      <c r="Y18" s="1">
        <f t="shared" si="3"/>
        <v>0</v>
      </c>
      <c r="Z18" s="1">
        <f t="shared" si="3"/>
        <v>0</v>
      </c>
      <c r="AA18" s="1">
        <f t="shared" si="3"/>
        <v>0</v>
      </c>
      <c r="AB18" s="1">
        <f t="shared" si="3"/>
        <v>0</v>
      </c>
      <c r="AC18" s="1">
        <f t="shared" si="3"/>
        <v>0</v>
      </c>
    </row>
    <row r="19" spans="1:29" x14ac:dyDescent="0.3">
      <c r="A19" s="1" t="s">
        <v>266</v>
      </c>
      <c r="B19">
        <f t="shared" ref="B19:AC19" si="4">_xlfn.STDEV.P(B2:B15)</f>
        <v>0</v>
      </c>
      <c r="C19">
        <f t="shared" si="4"/>
        <v>0</v>
      </c>
      <c r="D19">
        <f t="shared" si="4"/>
        <v>0</v>
      </c>
      <c r="E19">
        <f t="shared" si="4"/>
        <v>0</v>
      </c>
      <c r="F19">
        <f t="shared" si="4"/>
        <v>0</v>
      </c>
      <c r="G19">
        <f t="shared" si="4"/>
        <v>0.25753937681885641</v>
      </c>
      <c r="H19">
        <f t="shared" si="4"/>
        <v>0.25753937681885641</v>
      </c>
      <c r="I19">
        <f t="shared" si="4"/>
        <v>0</v>
      </c>
      <c r="J19">
        <f t="shared" si="4"/>
        <v>0</v>
      </c>
      <c r="K19">
        <f t="shared" si="4"/>
        <v>0</v>
      </c>
      <c r="L19">
        <f t="shared" si="4"/>
        <v>0</v>
      </c>
      <c r="M19">
        <f t="shared" si="4"/>
        <v>0</v>
      </c>
      <c r="N19">
        <f t="shared" si="4"/>
        <v>0</v>
      </c>
      <c r="O19">
        <f t="shared" si="4"/>
        <v>0</v>
      </c>
      <c r="P19">
        <f t="shared" si="4"/>
        <v>0</v>
      </c>
      <c r="Q19">
        <f t="shared" si="4"/>
        <v>0</v>
      </c>
      <c r="R19">
        <f t="shared" si="4"/>
        <v>0</v>
      </c>
      <c r="S19">
        <f t="shared" si="4"/>
        <v>0</v>
      </c>
      <c r="T19">
        <f t="shared" si="4"/>
        <v>0</v>
      </c>
      <c r="U19">
        <f t="shared" si="4"/>
        <v>0</v>
      </c>
      <c r="V19">
        <f t="shared" si="4"/>
        <v>0</v>
      </c>
      <c r="W19">
        <f t="shared" si="4"/>
        <v>0</v>
      </c>
      <c r="X19">
        <f t="shared" si="4"/>
        <v>0</v>
      </c>
      <c r="Y19">
        <f t="shared" si="4"/>
        <v>0</v>
      </c>
      <c r="Z19">
        <f t="shared" si="4"/>
        <v>0</v>
      </c>
      <c r="AA19">
        <f t="shared" si="4"/>
        <v>0</v>
      </c>
      <c r="AB19">
        <f t="shared" si="4"/>
        <v>0</v>
      </c>
      <c r="AC19">
        <f t="shared" si="4"/>
        <v>0.51507875363771283</v>
      </c>
    </row>
  </sheetData>
  <conditionalFormatting sqref="B2:AB15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16:AC18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15">
    <cfRule type="colorScale" priority="3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957B-0E9F-4CA5-AE2E-0182087E905C}">
  <dimension ref="A1:AC17"/>
  <sheetViews>
    <sheetView workbookViewId="0">
      <selection activeCell="L6" sqref="L6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26" t="s">
        <v>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1</v>
      </c>
    </row>
    <row r="3" spans="1:29" x14ac:dyDescent="0.3">
      <c r="A3" s="1" t="s">
        <v>310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3" si="0">SUM(B3:AB3)</f>
        <v>0</v>
      </c>
    </row>
    <row r="4" spans="1:29" x14ac:dyDescent="0.3">
      <c r="A4" s="1" t="s">
        <v>311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>SUM(B4:AB4)</f>
        <v>1</v>
      </c>
    </row>
    <row r="5" spans="1:29" x14ac:dyDescent="0.3">
      <c r="A5" s="1" t="s">
        <v>312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>SUM(B5:AB5)</f>
        <v>0</v>
      </c>
    </row>
    <row r="6" spans="1:29" x14ac:dyDescent="0.3">
      <c r="A6" s="20" t="s">
        <v>313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0</v>
      </c>
    </row>
    <row r="7" spans="1:29" x14ac:dyDescent="0.3">
      <c r="A7" s="20" t="s">
        <v>314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0</v>
      </c>
    </row>
    <row r="8" spans="1:29" x14ac:dyDescent="0.3">
      <c r="A8" s="1" t="s">
        <v>315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0"/>
        <v>0</v>
      </c>
    </row>
    <row r="9" spans="1:29" x14ac:dyDescent="0.3">
      <c r="A9" s="1" t="s">
        <v>316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0</v>
      </c>
    </row>
    <row r="10" spans="1:29" x14ac:dyDescent="0.3">
      <c r="A10" s="1" t="s">
        <v>317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0</v>
      </c>
    </row>
    <row r="11" spans="1:29" x14ac:dyDescent="0.3">
      <c r="A11" s="1" t="s">
        <v>318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1</v>
      </c>
    </row>
    <row r="12" spans="1:29" x14ac:dyDescent="0.3">
      <c r="A12" s="1" t="s">
        <v>319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0</v>
      </c>
    </row>
    <row r="13" spans="1:29" x14ac:dyDescent="0.3">
      <c r="A13" s="1" t="s">
        <v>320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 t="shared" si="0"/>
        <v>1</v>
      </c>
    </row>
    <row r="14" spans="1:29" x14ac:dyDescent="0.3">
      <c r="A14" s="6" t="s">
        <v>237</v>
      </c>
      <c r="B14" s="6">
        <f t="shared" ref="B14:AC14" si="1">AVERAGE(B2:B13)</f>
        <v>0</v>
      </c>
      <c r="C14" s="6">
        <f t="shared" si="1"/>
        <v>0</v>
      </c>
      <c r="D14" s="6">
        <f t="shared" si="1"/>
        <v>0</v>
      </c>
      <c r="E14" s="6">
        <f t="shared" si="1"/>
        <v>0</v>
      </c>
      <c r="F14" s="6">
        <f t="shared" si="1"/>
        <v>0</v>
      </c>
      <c r="G14" s="6">
        <f t="shared" si="1"/>
        <v>0</v>
      </c>
      <c r="H14" s="6">
        <f t="shared" si="1"/>
        <v>0</v>
      </c>
      <c r="I14" s="6">
        <f t="shared" si="1"/>
        <v>0</v>
      </c>
      <c r="J14" s="6">
        <f t="shared" si="1"/>
        <v>0</v>
      </c>
      <c r="K14" s="6">
        <f t="shared" si="1"/>
        <v>0</v>
      </c>
      <c r="L14" s="6">
        <f t="shared" si="1"/>
        <v>8.3333333333333329E-2</v>
      </c>
      <c r="M14" s="6">
        <f t="shared" si="1"/>
        <v>0.25</v>
      </c>
      <c r="N14" s="6">
        <f t="shared" si="1"/>
        <v>0</v>
      </c>
      <c r="O14" s="6">
        <f t="shared" si="1"/>
        <v>0</v>
      </c>
      <c r="P14" s="6">
        <f t="shared" si="1"/>
        <v>0</v>
      </c>
      <c r="Q14" s="6">
        <f t="shared" si="1"/>
        <v>0</v>
      </c>
      <c r="R14" s="6">
        <f t="shared" si="1"/>
        <v>0</v>
      </c>
      <c r="S14" s="6">
        <f t="shared" si="1"/>
        <v>0</v>
      </c>
      <c r="T14" s="6">
        <f t="shared" si="1"/>
        <v>0</v>
      </c>
      <c r="U14" s="6">
        <f t="shared" si="1"/>
        <v>0</v>
      </c>
      <c r="V14" s="6">
        <f t="shared" si="1"/>
        <v>0</v>
      </c>
      <c r="W14" s="6">
        <f t="shared" si="1"/>
        <v>0</v>
      </c>
      <c r="X14" s="6">
        <f t="shared" si="1"/>
        <v>0</v>
      </c>
      <c r="Y14" s="6">
        <f t="shared" si="1"/>
        <v>0</v>
      </c>
      <c r="Z14" s="6">
        <f t="shared" si="1"/>
        <v>0</v>
      </c>
      <c r="AA14" s="6">
        <f t="shared" si="1"/>
        <v>0</v>
      </c>
      <c r="AB14" s="6">
        <f t="shared" si="1"/>
        <v>0</v>
      </c>
      <c r="AC14" s="6">
        <f t="shared" si="1"/>
        <v>0.33333333333333331</v>
      </c>
    </row>
    <row r="15" spans="1:29" x14ac:dyDescent="0.3">
      <c r="A15" s="1" t="s">
        <v>264</v>
      </c>
      <c r="B15" s="1">
        <f t="shared" ref="B15:AC15" si="2">MEDIAN(B2:B13)</f>
        <v>0</v>
      </c>
      <c r="C15" s="1">
        <f t="shared" si="2"/>
        <v>0</v>
      </c>
      <c r="D15" s="1">
        <f t="shared" si="2"/>
        <v>0</v>
      </c>
      <c r="E15" s="1">
        <f t="shared" si="2"/>
        <v>0</v>
      </c>
      <c r="F15" s="1">
        <f t="shared" si="2"/>
        <v>0</v>
      </c>
      <c r="G15" s="1">
        <f t="shared" si="2"/>
        <v>0</v>
      </c>
      <c r="H15" s="1">
        <f t="shared" si="2"/>
        <v>0</v>
      </c>
      <c r="I15" s="1">
        <f t="shared" si="2"/>
        <v>0</v>
      </c>
      <c r="J15" s="1">
        <f t="shared" si="2"/>
        <v>0</v>
      </c>
      <c r="K15" s="1">
        <f t="shared" si="2"/>
        <v>0</v>
      </c>
      <c r="L15" s="1">
        <f t="shared" si="2"/>
        <v>0</v>
      </c>
      <c r="M15" s="1">
        <f t="shared" si="2"/>
        <v>0</v>
      </c>
      <c r="N15" s="1">
        <f t="shared" si="2"/>
        <v>0</v>
      </c>
      <c r="O15" s="1">
        <f t="shared" si="2"/>
        <v>0</v>
      </c>
      <c r="P15" s="1">
        <f t="shared" si="2"/>
        <v>0</v>
      </c>
      <c r="Q15" s="1">
        <f t="shared" si="2"/>
        <v>0</v>
      </c>
      <c r="R15" s="1">
        <f t="shared" si="2"/>
        <v>0</v>
      </c>
      <c r="S15" s="1">
        <f t="shared" si="2"/>
        <v>0</v>
      </c>
      <c r="T15" s="1">
        <f t="shared" si="2"/>
        <v>0</v>
      </c>
      <c r="U15" s="1">
        <f t="shared" si="2"/>
        <v>0</v>
      </c>
      <c r="V15" s="1">
        <f t="shared" si="2"/>
        <v>0</v>
      </c>
      <c r="W15" s="1">
        <f t="shared" si="2"/>
        <v>0</v>
      </c>
      <c r="X15" s="1">
        <f t="shared" si="2"/>
        <v>0</v>
      </c>
      <c r="Y15" s="1">
        <f t="shared" si="2"/>
        <v>0</v>
      </c>
      <c r="Z15" s="1">
        <f t="shared" si="2"/>
        <v>0</v>
      </c>
      <c r="AA15" s="1">
        <f t="shared" si="2"/>
        <v>0</v>
      </c>
      <c r="AB15" s="1">
        <f t="shared" si="2"/>
        <v>0</v>
      </c>
      <c r="AC15" s="1">
        <f t="shared" si="2"/>
        <v>0</v>
      </c>
    </row>
    <row r="16" spans="1:29" x14ac:dyDescent="0.3">
      <c r="A16" s="1" t="s">
        <v>265</v>
      </c>
      <c r="B16" s="1">
        <f t="shared" ref="B16:AC16" si="3">_xlfn.MODE.SNGL(B2:B13)</f>
        <v>0</v>
      </c>
      <c r="C16" s="1">
        <f t="shared" si="3"/>
        <v>0</v>
      </c>
      <c r="D16" s="1">
        <f t="shared" si="3"/>
        <v>0</v>
      </c>
      <c r="E16" s="1">
        <f t="shared" si="3"/>
        <v>0</v>
      </c>
      <c r="F16" s="1">
        <f t="shared" si="3"/>
        <v>0</v>
      </c>
      <c r="G16" s="1">
        <f t="shared" si="3"/>
        <v>0</v>
      </c>
      <c r="H16" s="1">
        <f t="shared" si="3"/>
        <v>0</v>
      </c>
      <c r="I16" s="1">
        <f t="shared" si="3"/>
        <v>0</v>
      </c>
      <c r="J16" s="1">
        <f t="shared" si="3"/>
        <v>0</v>
      </c>
      <c r="K16" s="1">
        <f t="shared" si="3"/>
        <v>0</v>
      </c>
      <c r="L16" s="1">
        <f t="shared" si="3"/>
        <v>0</v>
      </c>
      <c r="M16" s="1">
        <f t="shared" si="3"/>
        <v>0</v>
      </c>
      <c r="N16" s="1">
        <f t="shared" si="3"/>
        <v>0</v>
      </c>
      <c r="O16" s="1">
        <f t="shared" si="3"/>
        <v>0</v>
      </c>
      <c r="P16" s="1">
        <f t="shared" si="3"/>
        <v>0</v>
      </c>
      <c r="Q16" s="1">
        <f t="shared" si="3"/>
        <v>0</v>
      </c>
      <c r="R16" s="1">
        <f t="shared" si="3"/>
        <v>0</v>
      </c>
      <c r="S16" s="1">
        <f t="shared" si="3"/>
        <v>0</v>
      </c>
      <c r="T16" s="1">
        <f t="shared" si="3"/>
        <v>0</v>
      </c>
      <c r="U16" s="1">
        <f t="shared" si="3"/>
        <v>0</v>
      </c>
      <c r="V16" s="1">
        <f t="shared" si="3"/>
        <v>0</v>
      </c>
      <c r="W16" s="1">
        <f t="shared" si="3"/>
        <v>0</v>
      </c>
      <c r="X16" s="1">
        <f t="shared" si="3"/>
        <v>0</v>
      </c>
      <c r="Y16" s="1">
        <f t="shared" si="3"/>
        <v>0</v>
      </c>
      <c r="Z16" s="1">
        <f t="shared" si="3"/>
        <v>0</v>
      </c>
      <c r="AA16" s="1">
        <f t="shared" si="3"/>
        <v>0</v>
      </c>
      <c r="AB16" s="1">
        <f t="shared" si="3"/>
        <v>0</v>
      </c>
      <c r="AC16" s="1">
        <f t="shared" si="3"/>
        <v>0</v>
      </c>
    </row>
    <row r="17" spans="1:29" x14ac:dyDescent="0.3">
      <c r="A17" s="1" t="s">
        <v>266</v>
      </c>
      <c r="B17">
        <f t="shared" ref="B17:AC17" si="4">_xlfn.STDEV.P(B2:B13)</f>
        <v>0</v>
      </c>
      <c r="C17">
        <f t="shared" si="4"/>
        <v>0</v>
      </c>
      <c r="D17">
        <f t="shared" si="4"/>
        <v>0</v>
      </c>
      <c r="E17">
        <f t="shared" si="4"/>
        <v>0</v>
      </c>
      <c r="F17">
        <f t="shared" si="4"/>
        <v>0</v>
      </c>
      <c r="G17">
        <f t="shared" si="4"/>
        <v>0</v>
      </c>
      <c r="H17">
        <f t="shared" si="4"/>
        <v>0</v>
      </c>
      <c r="I17">
        <f t="shared" si="4"/>
        <v>0</v>
      </c>
      <c r="J17">
        <f t="shared" si="4"/>
        <v>0</v>
      </c>
      <c r="K17">
        <f t="shared" si="4"/>
        <v>0</v>
      </c>
      <c r="L17">
        <f t="shared" si="4"/>
        <v>0.27638539919628335</v>
      </c>
      <c r="M17">
        <f t="shared" si="4"/>
        <v>0.4330127018922193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0</v>
      </c>
      <c r="R17">
        <f t="shared" si="4"/>
        <v>0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4"/>
        <v>0</v>
      </c>
      <c r="W17">
        <f t="shared" si="4"/>
        <v>0</v>
      </c>
      <c r="X17">
        <f t="shared" si="4"/>
        <v>0</v>
      </c>
      <c r="Y17">
        <f t="shared" si="4"/>
        <v>0</v>
      </c>
      <c r="Z17">
        <f t="shared" si="4"/>
        <v>0</v>
      </c>
      <c r="AA17">
        <f t="shared" si="4"/>
        <v>0</v>
      </c>
      <c r="AB17">
        <f t="shared" si="4"/>
        <v>0</v>
      </c>
      <c r="AC17">
        <f t="shared" si="4"/>
        <v>0.47140452079103168</v>
      </c>
    </row>
  </sheetData>
  <conditionalFormatting sqref="B2:AB13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14:AC16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13">
    <cfRule type="colorScale" priority="3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EB93-72EA-4A84-9B76-D7047768D41C}">
  <dimension ref="A1:AC19"/>
  <sheetViews>
    <sheetView workbookViewId="0">
      <selection activeCell="O15" sqref="O15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321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3</v>
      </c>
    </row>
    <row r="3" spans="1:29" x14ac:dyDescent="0.3">
      <c r="A3" s="1" t="s">
        <v>322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>SUM(B3:AB3)</f>
        <v>2</v>
      </c>
    </row>
    <row r="4" spans="1:29" x14ac:dyDescent="0.3">
      <c r="A4" s="1" t="s">
        <v>323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ref="AC4:AC15" si="0">SUM(B4:AB4)</f>
        <v>0</v>
      </c>
    </row>
    <row r="5" spans="1:29" x14ac:dyDescent="0.3">
      <c r="A5" s="1" t="s">
        <v>324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0</v>
      </c>
    </row>
    <row r="6" spans="1:29" x14ac:dyDescent="0.3">
      <c r="A6" s="1" t="s">
        <v>325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3</v>
      </c>
    </row>
    <row r="7" spans="1:29" x14ac:dyDescent="0.3">
      <c r="A7" s="1" t="s">
        <v>326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2</v>
      </c>
    </row>
    <row r="8" spans="1:29" x14ac:dyDescent="0.3">
      <c r="A8" s="1" t="s">
        <v>327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>SUM(B8:AB8)</f>
        <v>0</v>
      </c>
    </row>
    <row r="9" spans="1:29" x14ac:dyDescent="0.3">
      <c r="A9" s="1" t="s">
        <v>328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2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7</v>
      </c>
    </row>
    <row r="10" spans="1:29" x14ac:dyDescent="0.3">
      <c r="A10" s="1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>
        <v>3</v>
      </c>
      <c r="N10">
        <v>2</v>
      </c>
      <c r="O10">
        <v>2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10</v>
      </c>
    </row>
    <row r="11" spans="1:29" x14ac:dyDescent="0.3">
      <c r="A11" s="1" t="s">
        <v>329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2</v>
      </c>
    </row>
    <row r="12" spans="1:29" x14ac:dyDescent="0.3">
      <c r="A12" s="1" t="s">
        <v>330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0</v>
      </c>
    </row>
    <row r="13" spans="1:29" x14ac:dyDescent="0.3">
      <c r="A13" s="1" t="s">
        <v>331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 t="shared" ref="AC13" si="1">SUM(B13:AB13)</f>
        <v>2</v>
      </c>
    </row>
    <row r="14" spans="1:29" x14ac:dyDescent="0.3">
      <c r="A14" s="1" t="s">
        <v>332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f t="shared" si="0"/>
        <v>6</v>
      </c>
    </row>
    <row r="15" spans="1:29" x14ac:dyDescent="0.3">
      <c r="A15" s="1" t="s">
        <v>333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2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f t="shared" si="0"/>
        <v>4</v>
      </c>
    </row>
    <row r="16" spans="1:29" x14ac:dyDescent="0.3">
      <c r="A16" s="6" t="s">
        <v>237</v>
      </c>
      <c r="B16" s="6">
        <f t="shared" ref="B16:AC16" si="2">AVERAGE(B4:B15)</f>
        <v>0</v>
      </c>
      <c r="C16" s="6">
        <f t="shared" si="2"/>
        <v>0</v>
      </c>
      <c r="D16" s="6">
        <f t="shared" si="2"/>
        <v>0</v>
      </c>
      <c r="E16" s="6">
        <f t="shared" si="2"/>
        <v>0</v>
      </c>
      <c r="F16" s="6">
        <f t="shared" si="2"/>
        <v>0</v>
      </c>
      <c r="G16" s="6">
        <f t="shared" si="2"/>
        <v>0</v>
      </c>
      <c r="H16" s="6">
        <f t="shared" si="2"/>
        <v>0</v>
      </c>
      <c r="I16" s="6">
        <f t="shared" si="2"/>
        <v>0</v>
      </c>
      <c r="J16" s="6">
        <f t="shared" si="2"/>
        <v>8.3333333333333329E-2</v>
      </c>
      <c r="K16" s="6">
        <f t="shared" si="2"/>
        <v>0.25</v>
      </c>
      <c r="L16" s="6">
        <f t="shared" si="2"/>
        <v>0.58333333333333337</v>
      </c>
      <c r="M16" s="6">
        <f t="shared" si="2"/>
        <v>0.5</v>
      </c>
      <c r="N16" s="6">
        <f t="shared" si="2"/>
        <v>0.58333333333333337</v>
      </c>
      <c r="O16" s="6">
        <f t="shared" si="2"/>
        <v>0.58333333333333337</v>
      </c>
      <c r="P16" s="6">
        <f t="shared" si="2"/>
        <v>0.16666666666666666</v>
      </c>
      <c r="Q16" s="6">
        <f t="shared" si="2"/>
        <v>8.3333333333333329E-2</v>
      </c>
      <c r="R16" s="6">
        <f t="shared" si="2"/>
        <v>0.16666666666666666</v>
      </c>
      <c r="S16" s="6">
        <f t="shared" si="2"/>
        <v>0</v>
      </c>
      <c r="T16" s="6">
        <f t="shared" si="2"/>
        <v>0</v>
      </c>
      <c r="U16" s="6">
        <f t="shared" si="2"/>
        <v>0</v>
      </c>
      <c r="V16" s="6">
        <f t="shared" si="2"/>
        <v>0</v>
      </c>
      <c r="W16" s="6">
        <f t="shared" si="2"/>
        <v>0</v>
      </c>
      <c r="X16" s="6">
        <f t="shared" si="2"/>
        <v>0</v>
      </c>
      <c r="Y16" s="6">
        <f t="shared" si="2"/>
        <v>0</v>
      </c>
      <c r="Z16" s="6">
        <f t="shared" si="2"/>
        <v>0</v>
      </c>
      <c r="AA16" s="6">
        <f t="shared" si="2"/>
        <v>0</v>
      </c>
      <c r="AB16" s="6">
        <f t="shared" si="2"/>
        <v>0</v>
      </c>
      <c r="AC16" s="6">
        <f t="shared" si="2"/>
        <v>3</v>
      </c>
    </row>
    <row r="17" spans="1:29" x14ac:dyDescent="0.3">
      <c r="A17" s="1" t="s">
        <v>264</v>
      </c>
      <c r="B17" s="1">
        <f t="shared" ref="B17:AC17" si="3">MEDIAN(B4:B15)</f>
        <v>0</v>
      </c>
      <c r="C17" s="1">
        <f t="shared" si="3"/>
        <v>0</v>
      </c>
      <c r="D17" s="1">
        <f t="shared" si="3"/>
        <v>0</v>
      </c>
      <c r="E17" s="1">
        <f t="shared" si="3"/>
        <v>0</v>
      </c>
      <c r="F17" s="1">
        <f t="shared" si="3"/>
        <v>0</v>
      </c>
      <c r="G17" s="1">
        <f t="shared" si="3"/>
        <v>0</v>
      </c>
      <c r="H17" s="1">
        <f t="shared" si="3"/>
        <v>0</v>
      </c>
      <c r="I17" s="1">
        <f t="shared" si="3"/>
        <v>0</v>
      </c>
      <c r="J17" s="1">
        <f t="shared" si="3"/>
        <v>0</v>
      </c>
      <c r="K17" s="1">
        <f t="shared" si="3"/>
        <v>0</v>
      </c>
      <c r="L17" s="1">
        <f t="shared" si="3"/>
        <v>0.5</v>
      </c>
      <c r="M17" s="1">
        <f t="shared" si="3"/>
        <v>0</v>
      </c>
      <c r="N17" s="1">
        <f t="shared" si="3"/>
        <v>0</v>
      </c>
      <c r="O17" s="1">
        <f t="shared" si="3"/>
        <v>0.5</v>
      </c>
      <c r="P17" s="1">
        <f t="shared" si="3"/>
        <v>0</v>
      </c>
      <c r="Q17" s="1">
        <f t="shared" si="3"/>
        <v>0</v>
      </c>
      <c r="R17" s="1">
        <f t="shared" si="3"/>
        <v>0</v>
      </c>
      <c r="S17" s="1">
        <f t="shared" si="3"/>
        <v>0</v>
      </c>
      <c r="T17" s="1">
        <f t="shared" si="3"/>
        <v>0</v>
      </c>
      <c r="U17" s="1">
        <f t="shared" si="3"/>
        <v>0</v>
      </c>
      <c r="V17" s="1">
        <f t="shared" si="3"/>
        <v>0</v>
      </c>
      <c r="W17" s="1">
        <f t="shared" si="3"/>
        <v>0</v>
      </c>
      <c r="X17" s="1">
        <f t="shared" si="3"/>
        <v>0</v>
      </c>
      <c r="Y17" s="1">
        <f t="shared" si="3"/>
        <v>0</v>
      </c>
      <c r="Z17" s="1">
        <f t="shared" si="3"/>
        <v>0</v>
      </c>
      <c r="AA17" s="1">
        <f t="shared" si="3"/>
        <v>0</v>
      </c>
      <c r="AB17" s="1">
        <f t="shared" si="3"/>
        <v>0</v>
      </c>
      <c r="AC17" s="1">
        <f t="shared" si="3"/>
        <v>2</v>
      </c>
    </row>
    <row r="18" spans="1:29" x14ac:dyDescent="0.3">
      <c r="A18" s="1" t="s">
        <v>265</v>
      </c>
      <c r="B18" s="1">
        <f t="shared" ref="B18:AC18" si="4">_xlfn.MODE.SNGL(B4:B15)</f>
        <v>0</v>
      </c>
      <c r="C18" s="1">
        <f t="shared" si="4"/>
        <v>0</v>
      </c>
      <c r="D18" s="1">
        <f t="shared" si="4"/>
        <v>0</v>
      </c>
      <c r="E18" s="1">
        <f t="shared" si="4"/>
        <v>0</v>
      </c>
      <c r="F18" s="1">
        <f t="shared" si="4"/>
        <v>0</v>
      </c>
      <c r="G18" s="1">
        <f t="shared" si="4"/>
        <v>0</v>
      </c>
      <c r="H18" s="1">
        <f t="shared" si="4"/>
        <v>0</v>
      </c>
      <c r="I18" s="1">
        <f t="shared" si="4"/>
        <v>0</v>
      </c>
      <c r="J18" s="1">
        <f t="shared" si="4"/>
        <v>0</v>
      </c>
      <c r="K18" s="1">
        <f t="shared" si="4"/>
        <v>0</v>
      </c>
      <c r="L18" s="1">
        <f t="shared" si="4"/>
        <v>0</v>
      </c>
      <c r="M18" s="1">
        <f t="shared" si="4"/>
        <v>0</v>
      </c>
      <c r="N18" s="1">
        <f t="shared" si="4"/>
        <v>0</v>
      </c>
      <c r="O18" s="1">
        <f t="shared" si="4"/>
        <v>0</v>
      </c>
      <c r="P18" s="1">
        <f t="shared" si="4"/>
        <v>0</v>
      </c>
      <c r="Q18" s="1">
        <f t="shared" si="4"/>
        <v>0</v>
      </c>
      <c r="R18" s="1">
        <f t="shared" si="4"/>
        <v>0</v>
      </c>
      <c r="S18" s="1">
        <f t="shared" si="4"/>
        <v>0</v>
      </c>
      <c r="T18" s="1">
        <f t="shared" si="4"/>
        <v>0</v>
      </c>
      <c r="U18" s="1">
        <f t="shared" si="4"/>
        <v>0</v>
      </c>
      <c r="V18" s="1">
        <f t="shared" si="4"/>
        <v>0</v>
      </c>
      <c r="W18" s="1">
        <f t="shared" si="4"/>
        <v>0</v>
      </c>
      <c r="X18" s="1">
        <f t="shared" si="4"/>
        <v>0</v>
      </c>
      <c r="Y18" s="1">
        <f t="shared" si="4"/>
        <v>0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</row>
    <row r="19" spans="1:29" x14ac:dyDescent="0.3">
      <c r="A19" s="1" t="s">
        <v>266</v>
      </c>
      <c r="B19">
        <f t="shared" ref="B19:AC19" si="5">_xlfn.STDEV.P(B4:B15)</f>
        <v>0</v>
      </c>
      <c r="C19">
        <f t="shared" si="5"/>
        <v>0</v>
      </c>
      <c r="D19">
        <f t="shared" si="5"/>
        <v>0</v>
      </c>
      <c r="E19">
        <f t="shared" si="5"/>
        <v>0</v>
      </c>
      <c r="F19">
        <f t="shared" si="5"/>
        <v>0</v>
      </c>
      <c r="G19">
        <f t="shared" si="5"/>
        <v>0</v>
      </c>
      <c r="H19">
        <f t="shared" si="5"/>
        <v>0</v>
      </c>
      <c r="I19">
        <f t="shared" si="5"/>
        <v>0</v>
      </c>
      <c r="J19">
        <f t="shared" si="5"/>
        <v>0.27638539919628335</v>
      </c>
      <c r="K19">
        <f t="shared" si="5"/>
        <v>0.59511903571190417</v>
      </c>
      <c r="L19">
        <f t="shared" si="5"/>
        <v>0.64009547898905073</v>
      </c>
      <c r="M19">
        <f t="shared" si="5"/>
        <v>0.9574271077563381</v>
      </c>
      <c r="N19">
        <f t="shared" si="5"/>
        <v>0.75920279826202486</v>
      </c>
      <c r="O19">
        <f t="shared" si="5"/>
        <v>0.64009547898905073</v>
      </c>
      <c r="P19">
        <f t="shared" si="5"/>
        <v>0.37267799624996495</v>
      </c>
      <c r="Q19">
        <f t="shared" si="5"/>
        <v>0.27638539919628335</v>
      </c>
      <c r="R19">
        <f t="shared" si="5"/>
        <v>0.55277079839256671</v>
      </c>
      <c r="S19">
        <f t="shared" si="5"/>
        <v>0</v>
      </c>
      <c r="T19">
        <f t="shared" si="5"/>
        <v>0</v>
      </c>
      <c r="U19">
        <f t="shared" si="5"/>
        <v>0</v>
      </c>
      <c r="V19">
        <f t="shared" si="5"/>
        <v>0</v>
      </c>
      <c r="W19">
        <f t="shared" si="5"/>
        <v>0</v>
      </c>
      <c r="X19">
        <f t="shared" si="5"/>
        <v>0</v>
      </c>
      <c r="Y19">
        <f t="shared" si="5"/>
        <v>0</v>
      </c>
      <c r="Z19">
        <f t="shared" si="5"/>
        <v>0</v>
      </c>
      <c r="AA19">
        <f t="shared" si="5"/>
        <v>0</v>
      </c>
      <c r="AB19">
        <f t="shared" si="5"/>
        <v>0</v>
      </c>
      <c r="AC19">
        <f t="shared" si="5"/>
        <v>3.082207001484488</v>
      </c>
    </row>
  </sheetData>
  <conditionalFormatting sqref="B2:AB2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B3:AB3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4:AB15">
    <cfRule type="colorScale" priority="4">
      <colorScale>
        <cfvo type="num" val="0"/>
        <cfvo type="num" val="3"/>
        <color theme="0"/>
        <color theme="6" tint="0.39997558519241921"/>
      </colorScale>
    </cfRule>
  </conditionalFormatting>
  <conditionalFormatting sqref="B16:AC18">
    <cfRule type="colorScale" priority="3">
      <colorScale>
        <cfvo type="num" val="0"/>
        <cfvo type="num" val="3"/>
        <color theme="0"/>
        <color theme="6" tint="0.39997558519241921"/>
      </colorScale>
    </cfRule>
  </conditionalFormatting>
  <conditionalFormatting sqref="AC2:AC15">
    <cfRule type="colorScale" priority="5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40C9-6966-42E8-B01B-DFB64A981B0D}">
  <dimension ref="A1:AC20"/>
  <sheetViews>
    <sheetView tabSelected="1" workbookViewId="0">
      <selection activeCell="J14" sqref="J14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334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1</v>
      </c>
    </row>
    <row r="3" spans="1:29" x14ac:dyDescent="0.3">
      <c r="A3" s="1" t="s">
        <v>335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2</v>
      </c>
      <c r="P3">
        <v>2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6" si="0">SUM(B3:AB3)</f>
        <v>8</v>
      </c>
    </row>
    <row r="4" spans="1:29" x14ac:dyDescent="0.3">
      <c r="A4" s="1" t="s">
        <v>336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2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6</v>
      </c>
    </row>
    <row r="5" spans="1:29" x14ac:dyDescent="0.3">
      <c r="A5" s="1" t="s">
        <v>337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2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7</v>
      </c>
    </row>
    <row r="6" spans="1:29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3</v>
      </c>
      <c r="N6">
        <v>2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8</v>
      </c>
    </row>
    <row r="7" spans="1:29" x14ac:dyDescent="0.3">
      <c r="A7" s="1" t="s">
        <v>338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>SUM(B7:AB7)</f>
        <v>6</v>
      </c>
    </row>
    <row r="8" spans="1:29" x14ac:dyDescent="0.3">
      <c r="A8" s="1" t="s">
        <v>339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2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0"/>
        <v>6</v>
      </c>
    </row>
    <row r="9" spans="1:29" x14ac:dyDescent="0.3">
      <c r="A9" s="1" t="s">
        <v>340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</v>
      </c>
      <c r="M9">
        <v>2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7</v>
      </c>
    </row>
    <row r="10" spans="1:29" x14ac:dyDescent="0.3">
      <c r="A10" s="1" t="s">
        <v>341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2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ref="AC10" si="1">SUM(B10:AB10)</f>
        <v>4</v>
      </c>
    </row>
    <row r="11" spans="1:29" x14ac:dyDescent="0.3">
      <c r="A11" s="1" t="s">
        <v>342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1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5</v>
      </c>
    </row>
    <row r="12" spans="1:29" x14ac:dyDescent="0.3">
      <c r="A12" s="1" t="s">
        <v>343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3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6</v>
      </c>
    </row>
    <row r="13" spans="1:29" x14ac:dyDescent="0.3">
      <c r="A13" s="1" t="s">
        <v>344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2</v>
      </c>
      <c r="O13">
        <v>3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 t="shared" si="0"/>
        <v>8</v>
      </c>
    </row>
    <row r="14" spans="1:29" x14ac:dyDescent="0.3">
      <c r="A14" s="1" t="s">
        <v>345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f t="shared" si="0"/>
        <v>3</v>
      </c>
    </row>
    <row r="15" spans="1:29" x14ac:dyDescent="0.3">
      <c r="A15" s="1" t="s">
        <v>346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2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f t="shared" si="0"/>
        <v>7</v>
      </c>
    </row>
    <row r="16" spans="1:29" x14ac:dyDescent="0.3">
      <c r="A16" s="1" t="s">
        <v>347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f t="shared" si="0"/>
        <v>5</v>
      </c>
    </row>
    <row r="17" spans="1:29" x14ac:dyDescent="0.3">
      <c r="A17" s="6" t="s">
        <v>237</v>
      </c>
      <c r="B17" s="6">
        <f>AVERAGE(B2:B16)</f>
        <v>0</v>
      </c>
      <c r="C17" s="6">
        <f t="shared" ref="C17:AA17" si="2">AVERAGE(C2:C16)</f>
        <v>0</v>
      </c>
      <c r="D17" s="6">
        <f t="shared" si="2"/>
        <v>0</v>
      </c>
      <c r="E17" s="6">
        <f t="shared" si="2"/>
        <v>0</v>
      </c>
      <c r="F17" s="6">
        <f t="shared" si="2"/>
        <v>0</v>
      </c>
      <c r="G17" s="6">
        <f t="shared" si="2"/>
        <v>0</v>
      </c>
      <c r="H17" s="6">
        <f t="shared" si="2"/>
        <v>0</v>
      </c>
      <c r="I17" s="6">
        <f t="shared" si="2"/>
        <v>0</v>
      </c>
      <c r="J17" s="6">
        <f t="shared" si="2"/>
        <v>0</v>
      </c>
      <c r="K17" s="6">
        <f t="shared" si="2"/>
        <v>0.13333333333333333</v>
      </c>
      <c r="L17" s="6">
        <f t="shared" si="2"/>
        <v>0.66666666666666663</v>
      </c>
      <c r="M17" s="6">
        <f t="shared" si="2"/>
        <v>1.3333333333333333</v>
      </c>
      <c r="N17" s="6">
        <f t="shared" si="2"/>
        <v>1.2666666666666666</v>
      </c>
      <c r="O17" s="6">
        <f t="shared" si="2"/>
        <v>1.1333333333333333</v>
      </c>
      <c r="P17" s="6">
        <f t="shared" si="2"/>
        <v>0.53333333333333333</v>
      </c>
      <c r="Q17" s="6">
        <f t="shared" si="2"/>
        <v>0.4</v>
      </c>
      <c r="R17" s="6">
        <f t="shared" si="2"/>
        <v>0.33333333333333331</v>
      </c>
      <c r="S17" s="6">
        <f t="shared" si="2"/>
        <v>0</v>
      </c>
      <c r="T17" s="6">
        <f t="shared" si="2"/>
        <v>0</v>
      </c>
      <c r="U17" s="6">
        <f t="shared" si="2"/>
        <v>0</v>
      </c>
      <c r="V17" s="6">
        <f t="shared" si="2"/>
        <v>0</v>
      </c>
      <c r="W17" s="6">
        <f t="shared" si="2"/>
        <v>0</v>
      </c>
      <c r="X17" s="6">
        <f t="shared" si="2"/>
        <v>0</v>
      </c>
      <c r="Y17" s="6">
        <f t="shared" si="2"/>
        <v>0</v>
      </c>
      <c r="Z17" s="6">
        <f t="shared" si="2"/>
        <v>0</v>
      </c>
      <c r="AA17" s="6">
        <f t="shared" si="2"/>
        <v>0</v>
      </c>
      <c r="AB17" s="6">
        <f>AVERAGE(AB2:AB16)</f>
        <v>0</v>
      </c>
      <c r="AC17" s="6">
        <f>AVERAGE(AC2:AC16)</f>
        <v>5.8</v>
      </c>
    </row>
    <row r="18" spans="1:29" x14ac:dyDescent="0.3">
      <c r="A18" s="1" t="s">
        <v>264</v>
      </c>
      <c r="B18" s="1">
        <f>MEDIAN(B2:B16)</f>
        <v>0</v>
      </c>
      <c r="C18" s="1">
        <f t="shared" ref="C18:AB18" si="3">MEDIAN(C2:C16)</f>
        <v>0</v>
      </c>
      <c r="D18" s="1">
        <f t="shared" si="3"/>
        <v>0</v>
      </c>
      <c r="E18" s="1">
        <f t="shared" si="3"/>
        <v>0</v>
      </c>
      <c r="F18" s="1">
        <f t="shared" si="3"/>
        <v>0</v>
      </c>
      <c r="G18" s="1">
        <f t="shared" si="3"/>
        <v>0</v>
      </c>
      <c r="H18" s="1">
        <f t="shared" si="3"/>
        <v>0</v>
      </c>
      <c r="I18" s="1">
        <f t="shared" si="3"/>
        <v>0</v>
      </c>
      <c r="J18" s="1">
        <f t="shared" si="3"/>
        <v>0</v>
      </c>
      <c r="K18" s="1">
        <f t="shared" si="3"/>
        <v>0</v>
      </c>
      <c r="L18" s="1">
        <f t="shared" si="3"/>
        <v>1</v>
      </c>
      <c r="M18" s="1">
        <f t="shared" si="3"/>
        <v>2</v>
      </c>
      <c r="N18" s="1">
        <f t="shared" si="3"/>
        <v>1</v>
      </c>
      <c r="O18" s="1">
        <f t="shared" si="3"/>
        <v>1</v>
      </c>
      <c r="P18" s="1">
        <f t="shared" si="3"/>
        <v>0</v>
      </c>
      <c r="Q18" s="1">
        <f t="shared" si="3"/>
        <v>0</v>
      </c>
      <c r="R18" s="1">
        <f t="shared" si="3"/>
        <v>0</v>
      </c>
      <c r="S18" s="1">
        <f t="shared" si="3"/>
        <v>0</v>
      </c>
      <c r="T18" s="1">
        <f t="shared" si="3"/>
        <v>0</v>
      </c>
      <c r="U18" s="1">
        <f t="shared" si="3"/>
        <v>0</v>
      </c>
      <c r="V18" s="1">
        <f t="shared" si="3"/>
        <v>0</v>
      </c>
      <c r="W18" s="1">
        <f t="shared" si="3"/>
        <v>0</v>
      </c>
      <c r="X18" s="1">
        <f t="shared" si="3"/>
        <v>0</v>
      </c>
      <c r="Y18" s="1">
        <f t="shared" si="3"/>
        <v>0</v>
      </c>
      <c r="Z18" s="1">
        <f t="shared" si="3"/>
        <v>0</v>
      </c>
      <c r="AA18" s="1">
        <f t="shared" si="3"/>
        <v>0</v>
      </c>
      <c r="AB18" s="1">
        <f t="shared" si="3"/>
        <v>0</v>
      </c>
      <c r="AC18" s="1">
        <f>MEDIAN(AC2:AC16)</f>
        <v>6</v>
      </c>
    </row>
    <row r="19" spans="1:29" x14ac:dyDescent="0.3">
      <c r="A19" s="1" t="s">
        <v>265</v>
      </c>
      <c r="B19" s="1">
        <f>_xlfn.MODE.SNGL(B2:B16)</f>
        <v>0</v>
      </c>
      <c r="C19" s="1">
        <f t="shared" ref="C19:AB19" si="4">_xlfn.MODE.SNGL(C2:C16)</f>
        <v>0</v>
      </c>
      <c r="D19" s="1">
        <f t="shared" si="4"/>
        <v>0</v>
      </c>
      <c r="E19" s="1">
        <f t="shared" si="4"/>
        <v>0</v>
      </c>
      <c r="F19" s="1">
        <f t="shared" si="4"/>
        <v>0</v>
      </c>
      <c r="G19" s="1">
        <f t="shared" si="4"/>
        <v>0</v>
      </c>
      <c r="H19" s="1">
        <f t="shared" si="4"/>
        <v>0</v>
      </c>
      <c r="I19" s="1">
        <f t="shared" si="4"/>
        <v>0</v>
      </c>
      <c r="J19" s="1">
        <f t="shared" si="4"/>
        <v>0</v>
      </c>
      <c r="K19" s="1">
        <f t="shared" si="4"/>
        <v>0</v>
      </c>
      <c r="L19" s="1">
        <f t="shared" si="4"/>
        <v>0</v>
      </c>
      <c r="M19" s="1">
        <f t="shared" si="4"/>
        <v>2</v>
      </c>
      <c r="N19" s="1">
        <f t="shared" si="4"/>
        <v>1</v>
      </c>
      <c r="O19" s="1">
        <f t="shared" si="4"/>
        <v>1</v>
      </c>
      <c r="P19" s="1">
        <f t="shared" si="4"/>
        <v>0</v>
      </c>
      <c r="Q19" s="1">
        <f t="shared" si="4"/>
        <v>0</v>
      </c>
      <c r="R19" s="1">
        <f t="shared" si="4"/>
        <v>0</v>
      </c>
      <c r="S19" s="1">
        <f t="shared" si="4"/>
        <v>0</v>
      </c>
      <c r="T19" s="1">
        <f t="shared" si="4"/>
        <v>0</v>
      </c>
      <c r="U19" s="1">
        <f t="shared" si="4"/>
        <v>0</v>
      </c>
      <c r="V19" s="1">
        <f t="shared" si="4"/>
        <v>0</v>
      </c>
      <c r="W19" s="1">
        <f t="shared" si="4"/>
        <v>0</v>
      </c>
      <c r="X19" s="1">
        <f t="shared" si="4"/>
        <v>0</v>
      </c>
      <c r="Y19" s="1">
        <f t="shared" si="4"/>
        <v>0</v>
      </c>
      <c r="Z19" s="1">
        <f t="shared" si="4"/>
        <v>0</v>
      </c>
      <c r="AA19" s="1">
        <f t="shared" si="4"/>
        <v>0</v>
      </c>
      <c r="AB19" s="1">
        <f t="shared" si="4"/>
        <v>0</v>
      </c>
      <c r="AC19" s="1">
        <f>_xlfn.MODE.SNGL(AC2:AC16)</f>
        <v>6</v>
      </c>
    </row>
    <row r="20" spans="1:29" x14ac:dyDescent="0.3">
      <c r="A20" s="1" t="s">
        <v>266</v>
      </c>
      <c r="B20">
        <f>_xlfn.STDEV.P(B2:B16)</f>
        <v>0</v>
      </c>
      <c r="C20">
        <f t="shared" ref="C20:AB20" si="5">_xlfn.STDEV.P(C2:C16)</f>
        <v>0</v>
      </c>
      <c r="D20">
        <f t="shared" si="5"/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0</v>
      </c>
      <c r="J20">
        <f t="shared" si="5"/>
        <v>0</v>
      </c>
      <c r="K20">
        <f t="shared" si="5"/>
        <v>0.33993463423951897</v>
      </c>
      <c r="L20">
        <f t="shared" si="5"/>
        <v>0.78881063774661553</v>
      </c>
      <c r="M20">
        <f t="shared" si="5"/>
        <v>1.0749676997731399</v>
      </c>
      <c r="N20">
        <f t="shared" si="5"/>
        <v>0.67986926847903795</v>
      </c>
      <c r="O20">
        <f t="shared" si="5"/>
        <v>0.95684667296048831</v>
      </c>
      <c r="P20">
        <f t="shared" si="5"/>
        <v>0.6182412330330469</v>
      </c>
      <c r="Q20">
        <f t="shared" si="5"/>
        <v>0.61101009266077866</v>
      </c>
      <c r="R20">
        <f t="shared" si="5"/>
        <v>0.59628479399994394</v>
      </c>
      <c r="S20">
        <f t="shared" si="5"/>
        <v>0</v>
      </c>
      <c r="T20">
        <f t="shared" si="5"/>
        <v>0</v>
      </c>
      <c r="U20">
        <f t="shared" si="5"/>
        <v>0</v>
      </c>
      <c r="V20">
        <f t="shared" si="5"/>
        <v>0</v>
      </c>
      <c r="W20">
        <f t="shared" si="5"/>
        <v>0</v>
      </c>
      <c r="X20">
        <f t="shared" si="5"/>
        <v>0</v>
      </c>
      <c r="Y20">
        <f t="shared" si="5"/>
        <v>0</v>
      </c>
      <c r="Z20">
        <f t="shared" si="5"/>
        <v>0</v>
      </c>
      <c r="AA20">
        <f t="shared" si="5"/>
        <v>0</v>
      </c>
      <c r="AB20">
        <f t="shared" si="5"/>
        <v>0</v>
      </c>
      <c r="AC20">
        <f>_xlfn.STDEV.P(AC2:AC16)</f>
        <v>1.9043809142780932</v>
      </c>
    </row>
  </sheetData>
  <conditionalFormatting sqref="B2:AB16">
    <cfRule type="colorScale" priority="3">
      <colorScale>
        <cfvo type="num" val="0"/>
        <cfvo type="num" val="3"/>
        <color theme="0"/>
        <color theme="6" tint="0.39997558519241921"/>
      </colorScale>
    </cfRule>
  </conditionalFormatting>
  <conditionalFormatting sqref="B17:AC19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AC2:AC16">
    <cfRule type="colorScale" priority="4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0618-CF8B-4CC2-A4B8-04C49B13BC4F}">
  <dimension ref="A1:AC14"/>
  <sheetViews>
    <sheetView workbookViewId="0">
      <selection activeCell="X15" sqref="X15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348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7</v>
      </c>
    </row>
    <row r="3" spans="1:29" x14ac:dyDescent="0.3">
      <c r="A3" s="1" t="s">
        <v>349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0" si="0">SUM(B3:AB3)</f>
        <v>1</v>
      </c>
    </row>
    <row r="4" spans="1:29" x14ac:dyDescent="0.3">
      <c r="A4" s="1" t="s">
        <v>350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6</v>
      </c>
    </row>
    <row r="5" spans="1:29" x14ac:dyDescent="0.3">
      <c r="A5" s="1" t="s">
        <v>37</v>
      </c>
      <c r="B5">
        <v>0</v>
      </c>
      <c r="C5">
        <v>0</v>
      </c>
      <c r="D5">
        <v>0</v>
      </c>
      <c r="E5">
        <v>0</v>
      </c>
      <c r="F5">
        <v>2</v>
      </c>
      <c r="G5">
        <v>0</v>
      </c>
      <c r="H5">
        <v>1</v>
      </c>
      <c r="I5">
        <v>2</v>
      </c>
      <c r="J5">
        <v>2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10</v>
      </c>
    </row>
    <row r="6" spans="1:29" x14ac:dyDescent="0.3">
      <c r="A6" s="1" t="s">
        <v>351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1</v>
      </c>
    </row>
    <row r="7" spans="1:29" x14ac:dyDescent="0.3">
      <c r="A7" s="1" t="s">
        <v>352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4</v>
      </c>
    </row>
    <row r="8" spans="1:29" x14ac:dyDescent="0.3">
      <c r="A8" s="1" t="s">
        <v>353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0"/>
        <v>4</v>
      </c>
    </row>
    <row r="9" spans="1:29" x14ac:dyDescent="0.3">
      <c r="A9" s="1" t="s">
        <v>354</v>
      </c>
      <c r="B9">
        <v>0</v>
      </c>
      <c r="C9">
        <v>0</v>
      </c>
      <c r="D9">
        <v>0</v>
      </c>
      <c r="E9">
        <v>1</v>
      </c>
      <c r="F9">
        <v>2</v>
      </c>
      <c r="G9">
        <v>1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9</v>
      </c>
    </row>
    <row r="10" spans="1:29" x14ac:dyDescent="0.3">
      <c r="A10" s="1" t="s">
        <v>355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2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9</v>
      </c>
    </row>
    <row r="11" spans="1:29" x14ac:dyDescent="0.3">
      <c r="A11" s="6" t="s">
        <v>237</v>
      </c>
      <c r="B11" s="6">
        <f t="shared" ref="B11:AC11" si="1">AVERAGE(B2:B10)</f>
        <v>0</v>
      </c>
      <c r="C11" s="6">
        <f t="shared" si="1"/>
        <v>0</v>
      </c>
      <c r="D11" s="6">
        <f t="shared" si="1"/>
        <v>0</v>
      </c>
      <c r="E11" s="6">
        <f t="shared" si="1"/>
        <v>0.22222222222222221</v>
      </c>
      <c r="F11" s="6">
        <f t="shared" si="1"/>
        <v>0.44444444444444442</v>
      </c>
      <c r="G11" s="6">
        <f t="shared" si="1"/>
        <v>0.22222222222222221</v>
      </c>
      <c r="H11" s="6">
        <f t="shared" si="1"/>
        <v>0.88888888888888884</v>
      </c>
      <c r="I11" s="6">
        <f t="shared" si="1"/>
        <v>0.88888888888888884</v>
      </c>
      <c r="J11" s="6">
        <f t="shared" si="1"/>
        <v>1.2222222222222223</v>
      </c>
      <c r="K11" s="6">
        <f t="shared" si="1"/>
        <v>0.77777777777777779</v>
      </c>
      <c r="L11" s="6">
        <f t="shared" si="1"/>
        <v>0.55555555555555558</v>
      </c>
      <c r="M11" s="6">
        <f t="shared" si="1"/>
        <v>0.33333333333333331</v>
      </c>
      <c r="N11" s="6">
        <f t="shared" si="1"/>
        <v>0.1111111111111111</v>
      </c>
      <c r="O11" s="6">
        <f t="shared" si="1"/>
        <v>0</v>
      </c>
      <c r="P11" s="6">
        <f t="shared" si="1"/>
        <v>0</v>
      </c>
      <c r="Q11" s="6">
        <f t="shared" si="1"/>
        <v>0</v>
      </c>
      <c r="R11" s="6">
        <f t="shared" si="1"/>
        <v>0</v>
      </c>
      <c r="S11" s="6">
        <f t="shared" si="1"/>
        <v>0</v>
      </c>
      <c r="T11" s="6">
        <f t="shared" si="1"/>
        <v>0</v>
      </c>
      <c r="U11" s="6">
        <f t="shared" si="1"/>
        <v>0</v>
      </c>
      <c r="V11" s="6">
        <f t="shared" si="1"/>
        <v>0</v>
      </c>
      <c r="W11" s="6">
        <f t="shared" si="1"/>
        <v>0</v>
      </c>
      <c r="X11" s="6">
        <f t="shared" si="1"/>
        <v>0</v>
      </c>
      <c r="Y11" s="6">
        <f t="shared" si="1"/>
        <v>0</v>
      </c>
      <c r="Z11" s="6">
        <f t="shared" si="1"/>
        <v>0</v>
      </c>
      <c r="AA11" s="6">
        <f t="shared" si="1"/>
        <v>0</v>
      </c>
      <c r="AB11" s="6">
        <f t="shared" si="1"/>
        <v>0</v>
      </c>
      <c r="AC11" s="6">
        <f t="shared" si="1"/>
        <v>5.666666666666667</v>
      </c>
    </row>
    <row r="12" spans="1:29" x14ac:dyDescent="0.3">
      <c r="A12" s="1" t="s">
        <v>264</v>
      </c>
      <c r="B12" s="1">
        <f>MEDIAN(B2:B10)</f>
        <v>0</v>
      </c>
      <c r="C12" s="1">
        <f t="shared" ref="C12:AC12" si="2">MEDIAN(C2:C10)</f>
        <v>0</v>
      </c>
      <c r="D12" s="1">
        <f t="shared" si="2"/>
        <v>0</v>
      </c>
      <c r="E12" s="1">
        <f t="shared" si="2"/>
        <v>0</v>
      </c>
      <c r="F12" s="1">
        <f t="shared" si="2"/>
        <v>0</v>
      </c>
      <c r="G12" s="1">
        <f t="shared" si="2"/>
        <v>0</v>
      </c>
      <c r="H12" s="1">
        <f t="shared" si="2"/>
        <v>1</v>
      </c>
      <c r="I12" s="1">
        <f t="shared" si="2"/>
        <v>1</v>
      </c>
      <c r="J12" s="1">
        <f t="shared" si="2"/>
        <v>1</v>
      </c>
      <c r="K12" s="1">
        <f t="shared" si="2"/>
        <v>1</v>
      </c>
      <c r="L12" s="1">
        <f t="shared" si="2"/>
        <v>0</v>
      </c>
      <c r="M12" s="1">
        <f t="shared" si="2"/>
        <v>0</v>
      </c>
      <c r="N12" s="1">
        <f t="shared" si="2"/>
        <v>0</v>
      </c>
      <c r="O12" s="1">
        <f t="shared" si="2"/>
        <v>0</v>
      </c>
      <c r="P12" s="1">
        <f t="shared" si="2"/>
        <v>0</v>
      </c>
      <c r="Q12" s="1">
        <f t="shared" si="2"/>
        <v>0</v>
      </c>
      <c r="R12" s="1">
        <f t="shared" si="2"/>
        <v>0</v>
      </c>
      <c r="S12" s="1">
        <f t="shared" si="2"/>
        <v>0</v>
      </c>
      <c r="T12" s="1">
        <f t="shared" si="2"/>
        <v>0</v>
      </c>
      <c r="U12" s="1">
        <f t="shared" si="2"/>
        <v>0</v>
      </c>
      <c r="V12" s="1">
        <f t="shared" si="2"/>
        <v>0</v>
      </c>
      <c r="W12" s="1">
        <f t="shared" si="2"/>
        <v>0</v>
      </c>
      <c r="X12" s="1">
        <f t="shared" si="2"/>
        <v>0</v>
      </c>
      <c r="Y12" s="1">
        <f t="shared" si="2"/>
        <v>0</v>
      </c>
      <c r="Z12" s="1">
        <f t="shared" si="2"/>
        <v>0</v>
      </c>
      <c r="AA12" s="1">
        <f t="shared" si="2"/>
        <v>0</v>
      </c>
      <c r="AB12" s="1">
        <f>MEDIAN(AB2:AB10)</f>
        <v>0</v>
      </c>
      <c r="AC12" s="1">
        <f t="shared" si="2"/>
        <v>6</v>
      </c>
    </row>
    <row r="13" spans="1:29" x14ac:dyDescent="0.3">
      <c r="A13" s="1" t="s">
        <v>265</v>
      </c>
      <c r="B13" s="1">
        <f>_xlfn.MODE.SNGL(B2:B10)</f>
        <v>0</v>
      </c>
      <c r="C13" s="1">
        <f t="shared" ref="C13:Z13" si="3">_xlfn.MODE.SNGL(C2:C10)</f>
        <v>0</v>
      </c>
      <c r="D13" s="1">
        <f t="shared" si="3"/>
        <v>0</v>
      </c>
      <c r="E13" s="1">
        <f t="shared" si="3"/>
        <v>0</v>
      </c>
      <c r="F13" s="1">
        <f t="shared" si="3"/>
        <v>0</v>
      </c>
      <c r="G13" s="1">
        <f t="shared" si="3"/>
        <v>0</v>
      </c>
      <c r="H13" s="1">
        <f t="shared" si="3"/>
        <v>1</v>
      </c>
      <c r="I13" s="1">
        <f t="shared" si="3"/>
        <v>1</v>
      </c>
      <c r="J13" s="1">
        <f t="shared" si="3"/>
        <v>1</v>
      </c>
      <c r="K13" s="1">
        <f t="shared" si="3"/>
        <v>0</v>
      </c>
      <c r="L13" s="1">
        <f t="shared" si="3"/>
        <v>0</v>
      </c>
      <c r="M13" s="1">
        <f t="shared" si="3"/>
        <v>0</v>
      </c>
      <c r="N13" s="1">
        <f t="shared" si="3"/>
        <v>0</v>
      </c>
      <c r="O13" s="1">
        <f t="shared" si="3"/>
        <v>0</v>
      </c>
      <c r="P13" s="1">
        <f t="shared" si="3"/>
        <v>0</v>
      </c>
      <c r="Q13" s="1">
        <f t="shared" si="3"/>
        <v>0</v>
      </c>
      <c r="R13" s="1">
        <f t="shared" si="3"/>
        <v>0</v>
      </c>
      <c r="S13" s="1">
        <f t="shared" si="3"/>
        <v>0</v>
      </c>
      <c r="T13" s="1">
        <f t="shared" si="3"/>
        <v>0</v>
      </c>
      <c r="U13" s="1">
        <f t="shared" si="3"/>
        <v>0</v>
      </c>
      <c r="V13" s="1">
        <f t="shared" si="3"/>
        <v>0</v>
      </c>
      <c r="W13" s="1">
        <f t="shared" si="3"/>
        <v>0</v>
      </c>
      <c r="X13" s="1">
        <f t="shared" si="3"/>
        <v>0</v>
      </c>
      <c r="Y13" s="1">
        <f t="shared" si="3"/>
        <v>0</v>
      </c>
      <c r="Z13" s="1">
        <f t="shared" si="3"/>
        <v>0</v>
      </c>
      <c r="AA13" s="1">
        <f>_xlfn.MODE.SNGL(AA2:AA10)</f>
        <v>0</v>
      </c>
      <c r="AB13" s="1">
        <f>_xlfn.MODE.SNGL(AB2:AB10)</f>
        <v>0</v>
      </c>
      <c r="AC13" s="1"/>
    </row>
    <row r="14" spans="1:29" x14ac:dyDescent="0.3">
      <c r="A14" s="1" t="s">
        <v>266</v>
      </c>
      <c r="B14">
        <f t="shared" ref="B14:AC14" si="4">_xlfn.STDEV.P(B2:B10)</f>
        <v>0</v>
      </c>
      <c r="C14">
        <f t="shared" si="4"/>
        <v>0</v>
      </c>
      <c r="D14">
        <f t="shared" si="4"/>
        <v>0</v>
      </c>
      <c r="E14">
        <f t="shared" si="4"/>
        <v>0.41573970964154905</v>
      </c>
      <c r="F14">
        <f t="shared" si="4"/>
        <v>0.8314794192830981</v>
      </c>
      <c r="G14">
        <f t="shared" si="4"/>
        <v>0.41573970964154905</v>
      </c>
      <c r="H14">
        <f t="shared" si="4"/>
        <v>0.56655772373253166</v>
      </c>
      <c r="I14">
        <f t="shared" si="4"/>
        <v>0.56655772373253166</v>
      </c>
      <c r="J14">
        <f t="shared" si="4"/>
        <v>0.62853936105470887</v>
      </c>
      <c r="K14">
        <f t="shared" si="4"/>
        <v>0.78567420131838617</v>
      </c>
      <c r="L14">
        <f t="shared" si="4"/>
        <v>0.6849348892187751</v>
      </c>
      <c r="M14">
        <f t="shared" si="4"/>
        <v>0.47140452079103168</v>
      </c>
      <c r="N14">
        <f t="shared" si="4"/>
        <v>0.31426968052735443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 t="shared" si="4"/>
        <v>0</v>
      </c>
      <c r="T14">
        <f t="shared" si="4"/>
        <v>0</v>
      </c>
      <c r="U14">
        <f t="shared" si="4"/>
        <v>0</v>
      </c>
      <c r="V14">
        <f t="shared" si="4"/>
        <v>0</v>
      </c>
      <c r="W14">
        <f t="shared" si="4"/>
        <v>0</v>
      </c>
      <c r="X14">
        <f t="shared" si="4"/>
        <v>0</v>
      </c>
      <c r="Y14">
        <f t="shared" si="4"/>
        <v>0</v>
      </c>
      <c r="Z14">
        <f t="shared" si="4"/>
        <v>0</v>
      </c>
      <c r="AA14">
        <f t="shared" si="4"/>
        <v>0</v>
      </c>
      <c r="AB14">
        <f t="shared" si="4"/>
        <v>0</v>
      </c>
      <c r="AC14">
        <f t="shared" si="4"/>
        <v>3.197221015541813</v>
      </c>
    </row>
  </sheetData>
  <phoneticPr fontId="2" type="noConversion"/>
  <conditionalFormatting sqref="AC2:AC11">
    <cfRule type="colorScale" priority="2">
      <colorScale>
        <cfvo type="num" val="0"/>
        <cfvo type="num" val="10"/>
        <color theme="0"/>
        <color rgb="FF00B050"/>
      </colorScale>
    </cfRule>
  </conditionalFormatting>
  <conditionalFormatting sqref="AC12:AC13 B2:AB13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E04C-FAC9-41C0-90B7-A0C5108FBFF8}">
  <dimension ref="A1:AC16"/>
  <sheetViews>
    <sheetView workbookViewId="0">
      <selection activeCell="A2" sqref="A2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356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5</v>
      </c>
    </row>
    <row r="3" spans="1:29" x14ac:dyDescent="0.3">
      <c r="A3" s="1" t="s">
        <v>357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2</v>
      </c>
      <c r="K3">
        <v>2</v>
      </c>
      <c r="L3">
        <v>1</v>
      </c>
      <c r="M3">
        <v>2</v>
      </c>
      <c r="N3">
        <v>2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2" si="0">SUM(B3:AB3)</f>
        <v>12</v>
      </c>
    </row>
    <row r="4" spans="1:29" x14ac:dyDescent="0.3">
      <c r="A4" s="1" t="s">
        <v>358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2</v>
      </c>
      <c r="L4">
        <v>2</v>
      </c>
      <c r="M4">
        <v>2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12</v>
      </c>
    </row>
    <row r="5" spans="1:29" x14ac:dyDescent="0.3">
      <c r="A5" s="1" t="s">
        <v>359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5</v>
      </c>
    </row>
    <row r="6" spans="1:29" x14ac:dyDescent="0.3">
      <c r="A6" s="1" t="s">
        <v>360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2</v>
      </c>
      <c r="J6">
        <v>2</v>
      </c>
      <c r="K6">
        <v>2</v>
      </c>
      <c r="L6">
        <v>2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11</v>
      </c>
    </row>
    <row r="7" spans="1:29" x14ac:dyDescent="0.3">
      <c r="A7" s="1" t="s">
        <v>361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2</v>
      </c>
      <c r="J7">
        <v>2</v>
      </c>
      <c r="K7">
        <v>2</v>
      </c>
      <c r="L7">
        <v>2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12</v>
      </c>
    </row>
    <row r="8" spans="1:29" x14ac:dyDescent="0.3">
      <c r="A8" s="1" t="s">
        <v>362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0"/>
        <v>5</v>
      </c>
    </row>
    <row r="9" spans="1:29" x14ac:dyDescent="0.3">
      <c r="A9" s="1" t="s">
        <v>42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2</v>
      </c>
      <c r="J9">
        <v>2</v>
      </c>
      <c r="K9">
        <v>1</v>
      </c>
      <c r="L9">
        <v>1</v>
      </c>
      <c r="M9">
        <v>2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12</v>
      </c>
    </row>
    <row r="10" spans="1:29" x14ac:dyDescent="0.3">
      <c r="A10" s="1" t="s">
        <v>363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6</v>
      </c>
    </row>
    <row r="11" spans="1:29" x14ac:dyDescent="0.3">
      <c r="A11" s="1" t="s">
        <v>364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2</v>
      </c>
      <c r="I11">
        <v>2</v>
      </c>
      <c r="J11">
        <v>1</v>
      </c>
      <c r="K11">
        <v>1</v>
      </c>
      <c r="L11">
        <v>2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11</v>
      </c>
    </row>
    <row r="12" spans="1:29" x14ac:dyDescent="0.3">
      <c r="A12" s="1" t="s">
        <v>365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2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9</v>
      </c>
    </row>
    <row r="13" spans="1:29" x14ac:dyDescent="0.3">
      <c r="A13" s="6" t="s">
        <v>237</v>
      </c>
      <c r="B13" s="6">
        <f>AVERAGE(B2:B12)</f>
        <v>0</v>
      </c>
      <c r="C13" s="6">
        <f t="shared" ref="C13:AC13" si="1">AVERAGE(C2:C12)</f>
        <v>0</v>
      </c>
      <c r="D13" s="6">
        <f t="shared" si="1"/>
        <v>0</v>
      </c>
      <c r="E13" s="6">
        <f t="shared" si="1"/>
        <v>0</v>
      </c>
      <c r="F13" s="6">
        <f t="shared" si="1"/>
        <v>0.18181818181818182</v>
      </c>
      <c r="G13" s="6">
        <f t="shared" si="1"/>
        <v>0.36363636363636365</v>
      </c>
      <c r="H13" s="6">
        <f t="shared" si="1"/>
        <v>0.81818181818181823</v>
      </c>
      <c r="I13" s="6">
        <f t="shared" si="1"/>
        <v>1.2727272727272727</v>
      </c>
      <c r="J13" s="6">
        <f t="shared" si="1"/>
        <v>1.3636363636363635</v>
      </c>
      <c r="K13" s="6">
        <f t="shared" si="1"/>
        <v>1.2727272727272727</v>
      </c>
      <c r="L13" s="6">
        <f t="shared" si="1"/>
        <v>1.5454545454545454</v>
      </c>
      <c r="M13" s="6">
        <f t="shared" si="1"/>
        <v>1.2727272727272727</v>
      </c>
      <c r="N13" s="6">
        <f t="shared" si="1"/>
        <v>0.63636363636363635</v>
      </c>
      <c r="O13" s="6">
        <f t="shared" si="1"/>
        <v>0.27272727272727271</v>
      </c>
      <c r="P13" s="6">
        <f t="shared" si="1"/>
        <v>9.0909090909090912E-2</v>
      </c>
      <c r="Q13" s="6">
        <f t="shared" si="1"/>
        <v>0</v>
      </c>
      <c r="R13" s="6">
        <f t="shared" si="1"/>
        <v>0</v>
      </c>
      <c r="S13" s="6">
        <f t="shared" si="1"/>
        <v>0</v>
      </c>
      <c r="T13" s="6">
        <f t="shared" si="1"/>
        <v>0</v>
      </c>
      <c r="U13" s="6">
        <f t="shared" si="1"/>
        <v>0</v>
      </c>
      <c r="V13" s="6">
        <f t="shared" si="1"/>
        <v>0</v>
      </c>
      <c r="W13" s="6">
        <f t="shared" si="1"/>
        <v>0</v>
      </c>
      <c r="X13" s="6">
        <f t="shared" si="1"/>
        <v>0</v>
      </c>
      <c r="Y13" s="6">
        <f t="shared" si="1"/>
        <v>0</v>
      </c>
      <c r="Z13" s="6">
        <f t="shared" si="1"/>
        <v>0</v>
      </c>
      <c r="AA13" s="6">
        <f t="shared" si="1"/>
        <v>0</v>
      </c>
      <c r="AB13" s="6">
        <f t="shared" ref="AB13" si="2">AVERAGE(AB2:AB12)</f>
        <v>0</v>
      </c>
      <c r="AC13" s="6">
        <f t="shared" si="1"/>
        <v>9.0909090909090917</v>
      </c>
    </row>
    <row r="14" spans="1:29" x14ac:dyDescent="0.3">
      <c r="A14" s="1" t="s">
        <v>264</v>
      </c>
      <c r="B14" s="1">
        <f>MEDIAN(B2:B12)</f>
        <v>0</v>
      </c>
      <c r="C14" s="1">
        <f t="shared" ref="C14:AC14" si="3">MEDIAN(C2:C12)</f>
        <v>0</v>
      </c>
      <c r="D14" s="1">
        <f t="shared" si="3"/>
        <v>0</v>
      </c>
      <c r="E14" s="1">
        <f t="shared" si="3"/>
        <v>0</v>
      </c>
      <c r="F14" s="1">
        <f t="shared" si="3"/>
        <v>0</v>
      </c>
      <c r="G14" s="1">
        <f t="shared" si="3"/>
        <v>0</v>
      </c>
      <c r="H14" s="1">
        <f t="shared" si="3"/>
        <v>1</v>
      </c>
      <c r="I14" s="1">
        <f t="shared" si="3"/>
        <v>1</v>
      </c>
      <c r="J14" s="1">
        <f t="shared" si="3"/>
        <v>1</v>
      </c>
      <c r="K14" s="1">
        <f t="shared" si="3"/>
        <v>1</v>
      </c>
      <c r="L14" s="1">
        <f t="shared" si="3"/>
        <v>2</v>
      </c>
      <c r="M14" s="1">
        <f t="shared" si="3"/>
        <v>1</v>
      </c>
      <c r="N14" s="1">
        <f t="shared" si="3"/>
        <v>0</v>
      </c>
      <c r="O14" s="1">
        <f t="shared" si="3"/>
        <v>0</v>
      </c>
      <c r="P14" s="1">
        <f t="shared" si="3"/>
        <v>0</v>
      </c>
      <c r="Q14" s="1">
        <f t="shared" si="3"/>
        <v>0</v>
      </c>
      <c r="R14" s="1">
        <f t="shared" si="3"/>
        <v>0</v>
      </c>
      <c r="S14" s="1">
        <f t="shared" si="3"/>
        <v>0</v>
      </c>
      <c r="T14" s="1">
        <f t="shared" si="3"/>
        <v>0</v>
      </c>
      <c r="U14" s="1">
        <f t="shared" si="3"/>
        <v>0</v>
      </c>
      <c r="V14" s="1">
        <f t="shared" si="3"/>
        <v>0</v>
      </c>
      <c r="W14" s="1">
        <f t="shared" si="3"/>
        <v>0</v>
      </c>
      <c r="X14" s="1">
        <f t="shared" si="3"/>
        <v>0</v>
      </c>
      <c r="Y14" s="1">
        <f t="shared" si="3"/>
        <v>0</v>
      </c>
      <c r="Z14" s="1">
        <f t="shared" si="3"/>
        <v>0</v>
      </c>
      <c r="AA14" s="1">
        <f t="shared" si="3"/>
        <v>0</v>
      </c>
      <c r="AB14" s="1">
        <f t="shared" ref="AB14" si="4">MEDIAN(AB2:AB12)</f>
        <v>0</v>
      </c>
      <c r="AC14" s="1">
        <f t="shared" si="3"/>
        <v>11</v>
      </c>
    </row>
    <row r="15" spans="1:29" x14ac:dyDescent="0.3">
      <c r="A15" s="1" t="s">
        <v>265</v>
      </c>
      <c r="B15" s="1">
        <f>_xlfn.MODE.SNGL(B2:B12)</f>
        <v>0</v>
      </c>
      <c r="C15" s="1">
        <f t="shared" ref="C15:AA15" si="5">_xlfn.MODE.SNGL(C2:C12)</f>
        <v>0</v>
      </c>
      <c r="D15" s="1">
        <f t="shared" si="5"/>
        <v>0</v>
      </c>
      <c r="E15" s="1">
        <f t="shared" si="5"/>
        <v>0</v>
      </c>
      <c r="F15" s="1">
        <f t="shared" si="5"/>
        <v>0</v>
      </c>
      <c r="G15" s="1">
        <f t="shared" si="5"/>
        <v>0</v>
      </c>
      <c r="H15" s="1">
        <f t="shared" si="5"/>
        <v>1</v>
      </c>
      <c r="I15" s="1">
        <f t="shared" si="5"/>
        <v>1</v>
      </c>
      <c r="J15" s="1">
        <f t="shared" si="5"/>
        <v>1</v>
      </c>
      <c r="K15" s="1">
        <f t="shared" si="5"/>
        <v>2</v>
      </c>
      <c r="L15" s="1">
        <f t="shared" si="5"/>
        <v>2</v>
      </c>
      <c r="M15" s="1">
        <f t="shared" si="5"/>
        <v>2</v>
      </c>
      <c r="N15" s="1">
        <f t="shared" si="5"/>
        <v>0</v>
      </c>
      <c r="O15" s="1">
        <f t="shared" si="5"/>
        <v>0</v>
      </c>
      <c r="P15" s="1">
        <f t="shared" si="5"/>
        <v>0</v>
      </c>
      <c r="Q15" s="1">
        <f t="shared" si="5"/>
        <v>0</v>
      </c>
      <c r="R15" s="1">
        <f t="shared" si="5"/>
        <v>0</v>
      </c>
      <c r="S15" s="1">
        <f t="shared" si="5"/>
        <v>0</v>
      </c>
      <c r="T15" s="1">
        <f t="shared" si="5"/>
        <v>0</v>
      </c>
      <c r="U15" s="1">
        <f t="shared" si="5"/>
        <v>0</v>
      </c>
      <c r="V15" s="1">
        <f t="shared" si="5"/>
        <v>0</v>
      </c>
      <c r="W15" s="1">
        <f t="shared" si="5"/>
        <v>0</v>
      </c>
      <c r="X15" s="1">
        <f t="shared" si="5"/>
        <v>0</v>
      </c>
      <c r="Y15" s="1">
        <f t="shared" si="5"/>
        <v>0</v>
      </c>
      <c r="Z15" s="1">
        <f t="shared" si="5"/>
        <v>0</v>
      </c>
      <c r="AA15" s="1">
        <f t="shared" si="5"/>
        <v>0</v>
      </c>
      <c r="AB15" s="1">
        <f t="shared" ref="AB15" si="6">_xlfn.MODE.SNGL(AB2:AB12)</f>
        <v>0</v>
      </c>
      <c r="AC15" s="1">
        <f>_xlfn.MODE.SNGL(AC2:AC12)</f>
        <v>12</v>
      </c>
    </row>
    <row r="16" spans="1:29" x14ac:dyDescent="0.3">
      <c r="A16" s="1" t="s">
        <v>266</v>
      </c>
      <c r="B16">
        <f>_xlfn.STDEV.P(B2:B12)</f>
        <v>0</v>
      </c>
      <c r="C16">
        <f t="shared" ref="C16:AA16" si="7">_xlfn.STDEV.P(C2:C12)</f>
        <v>0</v>
      </c>
      <c r="D16">
        <f t="shared" si="7"/>
        <v>0</v>
      </c>
      <c r="E16">
        <f t="shared" si="7"/>
        <v>0</v>
      </c>
      <c r="F16">
        <f t="shared" si="7"/>
        <v>0.38569460791993504</v>
      </c>
      <c r="G16">
        <f t="shared" si="7"/>
        <v>0.48104569292083466</v>
      </c>
      <c r="H16">
        <f t="shared" si="7"/>
        <v>0.57495957457606894</v>
      </c>
      <c r="I16">
        <f t="shared" si="7"/>
        <v>0.61657545301138805</v>
      </c>
      <c r="J16">
        <f t="shared" si="7"/>
        <v>0.48104569292083466</v>
      </c>
      <c r="K16">
        <f>_xlfn.STDEV.P(K2:K12)</f>
        <v>0.74965556829412006</v>
      </c>
      <c r="L16">
        <f t="shared" si="7"/>
        <v>0.49792959773196921</v>
      </c>
      <c r="M16">
        <f t="shared" si="7"/>
        <v>0.74965556829412006</v>
      </c>
      <c r="N16">
        <f t="shared" si="7"/>
        <v>0.77138921583987008</v>
      </c>
      <c r="O16">
        <f t="shared" si="7"/>
        <v>0.44536177141512329</v>
      </c>
      <c r="P16">
        <f t="shared" si="7"/>
        <v>0.28747978728803447</v>
      </c>
      <c r="Q16">
        <f t="shared" si="7"/>
        <v>0</v>
      </c>
      <c r="R16">
        <f t="shared" si="7"/>
        <v>0</v>
      </c>
      <c r="S16">
        <f t="shared" si="7"/>
        <v>0</v>
      </c>
      <c r="T16">
        <f t="shared" si="7"/>
        <v>0</v>
      </c>
      <c r="U16">
        <f t="shared" si="7"/>
        <v>0</v>
      </c>
      <c r="V16">
        <f t="shared" si="7"/>
        <v>0</v>
      </c>
      <c r="W16">
        <f t="shared" si="7"/>
        <v>0</v>
      </c>
      <c r="X16">
        <f t="shared" si="7"/>
        <v>0</v>
      </c>
      <c r="Y16">
        <f t="shared" si="7"/>
        <v>0</v>
      </c>
      <c r="Z16">
        <f t="shared" si="7"/>
        <v>0</v>
      </c>
      <c r="AA16">
        <f t="shared" si="7"/>
        <v>0</v>
      </c>
      <c r="AB16">
        <f t="shared" ref="AB16" si="8">_xlfn.STDEV.P(AB2:AB12)</f>
        <v>0</v>
      </c>
      <c r="AC16">
        <f>_xlfn.STDEV.P(AC2:AC12)</f>
        <v>3.0287874998104876</v>
      </c>
    </row>
  </sheetData>
  <conditionalFormatting sqref="B2:AB12">
    <cfRule type="colorScale" priority="3">
      <colorScale>
        <cfvo type="num" val="0"/>
        <cfvo type="num" val="3"/>
        <color theme="0"/>
        <color theme="6" tint="0.39997558519241921"/>
      </colorScale>
    </cfRule>
  </conditionalFormatting>
  <conditionalFormatting sqref="B13:AC15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12">
    <cfRule type="colorScale" priority="4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14C4-6B33-4BAE-909F-7A6455436C65}">
  <dimension ref="A1:AC13"/>
  <sheetViews>
    <sheetView workbookViewId="0">
      <selection activeCell="W15" sqref="W15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366</v>
      </c>
      <c r="B2">
        <v>0</v>
      </c>
      <c r="C2">
        <v>0</v>
      </c>
      <c r="D2">
        <v>0</v>
      </c>
      <c r="E2">
        <v>0</v>
      </c>
      <c r="F2">
        <v>1</v>
      </c>
      <c r="G2">
        <v>2</v>
      </c>
      <c r="H2">
        <v>2</v>
      </c>
      <c r="I2">
        <v>2</v>
      </c>
      <c r="J2">
        <v>1</v>
      </c>
      <c r="K2">
        <v>0</v>
      </c>
      <c r="L2">
        <v>1</v>
      </c>
      <c r="M2">
        <v>2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12</v>
      </c>
    </row>
    <row r="3" spans="1:29" x14ac:dyDescent="0.3">
      <c r="A3" s="1" t="s">
        <v>367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2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9" si="0">SUM(B3:AB3)</f>
        <v>10</v>
      </c>
    </row>
    <row r="4" spans="1:29" x14ac:dyDescent="0.3">
      <c r="A4" s="1" t="s">
        <v>368</v>
      </c>
      <c r="B4">
        <v>0</v>
      </c>
      <c r="C4">
        <v>0</v>
      </c>
      <c r="D4">
        <v>0</v>
      </c>
      <c r="E4">
        <v>0</v>
      </c>
      <c r="F4">
        <v>2</v>
      </c>
      <c r="G4">
        <v>1</v>
      </c>
      <c r="H4">
        <v>1</v>
      </c>
      <c r="I4">
        <v>2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9</v>
      </c>
    </row>
    <row r="5" spans="1:29" x14ac:dyDescent="0.3">
      <c r="A5" s="1" t="s">
        <v>369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>SUM(B5:AB5)</f>
        <v>10</v>
      </c>
    </row>
    <row r="6" spans="1:29" x14ac:dyDescent="0.3">
      <c r="A6" s="1" t="s">
        <v>370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5</v>
      </c>
    </row>
    <row r="7" spans="1:29" x14ac:dyDescent="0.3">
      <c r="A7" s="1" t="s">
        <v>47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2</v>
      </c>
      <c r="I7">
        <v>1</v>
      </c>
      <c r="J7">
        <v>2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10</v>
      </c>
    </row>
    <row r="8" spans="1:29" x14ac:dyDescent="0.3">
      <c r="A8" s="1" t="s">
        <v>371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2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0"/>
        <v>6</v>
      </c>
    </row>
    <row r="9" spans="1:29" x14ac:dyDescent="0.3">
      <c r="A9" s="1" t="s">
        <v>372</v>
      </c>
      <c r="B9">
        <v>0</v>
      </c>
      <c r="C9">
        <v>0</v>
      </c>
      <c r="D9">
        <v>0</v>
      </c>
      <c r="E9">
        <v>0</v>
      </c>
      <c r="F9">
        <v>1</v>
      </c>
      <c r="G9">
        <v>2</v>
      </c>
      <c r="H9">
        <v>2</v>
      </c>
      <c r="I9">
        <v>2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10</v>
      </c>
    </row>
    <row r="10" spans="1:29" x14ac:dyDescent="0.3">
      <c r="A10" s="6" t="s">
        <v>237</v>
      </c>
      <c r="B10" s="6">
        <f t="shared" ref="B10:AC10" si="1">AVERAGE(B2:B9)</f>
        <v>0</v>
      </c>
      <c r="C10" s="6">
        <f t="shared" si="1"/>
        <v>0</v>
      </c>
      <c r="D10" s="6">
        <f t="shared" si="1"/>
        <v>0</v>
      </c>
      <c r="E10" s="6">
        <f t="shared" si="1"/>
        <v>0</v>
      </c>
      <c r="F10" s="6">
        <f t="shared" si="1"/>
        <v>0.5</v>
      </c>
      <c r="G10" s="6">
        <f t="shared" si="1"/>
        <v>1.25</v>
      </c>
      <c r="H10" s="6">
        <f t="shared" si="1"/>
        <v>1.5</v>
      </c>
      <c r="I10" s="6">
        <f t="shared" si="1"/>
        <v>1.625</v>
      </c>
      <c r="J10" s="6">
        <f t="shared" si="1"/>
        <v>1.125</v>
      </c>
      <c r="K10" s="6">
        <f t="shared" si="1"/>
        <v>0.875</v>
      </c>
      <c r="L10" s="6">
        <f t="shared" si="1"/>
        <v>1</v>
      </c>
      <c r="M10" s="6">
        <f t="shared" si="1"/>
        <v>0.625</v>
      </c>
      <c r="N10" s="6">
        <f t="shared" si="1"/>
        <v>0.5</v>
      </c>
      <c r="O10" s="6">
        <f t="shared" si="1"/>
        <v>0</v>
      </c>
      <c r="P10" s="6">
        <f t="shared" si="1"/>
        <v>0</v>
      </c>
      <c r="Q10" s="6">
        <f t="shared" si="1"/>
        <v>0</v>
      </c>
      <c r="R10" s="6">
        <f t="shared" si="1"/>
        <v>0</v>
      </c>
      <c r="S10" s="6">
        <f t="shared" si="1"/>
        <v>0</v>
      </c>
      <c r="T10" s="6">
        <f t="shared" si="1"/>
        <v>0</v>
      </c>
      <c r="U10" s="6">
        <f t="shared" si="1"/>
        <v>0</v>
      </c>
      <c r="V10" s="6">
        <f t="shared" si="1"/>
        <v>0</v>
      </c>
      <c r="W10" s="6">
        <f t="shared" si="1"/>
        <v>0</v>
      </c>
      <c r="X10" s="6">
        <f t="shared" si="1"/>
        <v>0</v>
      </c>
      <c r="Y10" s="6">
        <f t="shared" si="1"/>
        <v>0</v>
      </c>
      <c r="Z10" s="6">
        <f t="shared" si="1"/>
        <v>0</v>
      </c>
      <c r="AA10" s="6">
        <f t="shared" si="1"/>
        <v>0</v>
      </c>
      <c r="AB10" s="6">
        <f t="shared" si="1"/>
        <v>0</v>
      </c>
      <c r="AC10" s="6">
        <f t="shared" si="1"/>
        <v>9</v>
      </c>
    </row>
    <row r="11" spans="1:29" x14ac:dyDescent="0.3">
      <c r="A11" s="1" t="s">
        <v>264</v>
      </c>
      <c r="B11" s="1">
        <f t="shared" ref="B11:AC11" si="2">MEDIAN(B2:B9)</f>
        <v>0</v>
      </c>
      <c r="C11" s="1">
        <f t="shared" si="2"/>
        <v>0</v>
      </c>
      <c r="D11" s="1">
        <f t="shared" si="2"/>
        <v>0</v>
      </c>
      <c r="E11" s="1">
        <f t="shared" si="2"/>
        <v>0</v>
      </c>
      <c r="F11" s="1">
        <f t="shared" si="2"/>
        <v>0</v>
      </c>
      <c r="G11" s="1">
        <f t="shared" si="2"/>
        <v>1.5</v>
      </c>
      <c r="H11" s="1">
        <f t="shared" si="2"/>
        <v>2</v>
      </c>
      <c r="I11" s="1">
        <f t="shared" si="2"/>
        <v>2</v>
      </c>
      <c r="J11" s="1">
        <f t="shared" si="2"/>
        <v>1</v>
      </c>
      <c r="K11" s="1">
        <f t="shared" si="2"/>
        <v>1</v>
      </c>
      <c r="L11" s="1">
        <f t="shared" si="2"/>
        <v>1</v>
      </c>
      <c r="M11" s="1">
        <f t="shared" si="2"/>
        <v>0.5</v>
      </c>
      <c r="N11" s="1">
        <f t="shared" si="2"/>
        <v>0.5</v>
      </c>
      <c r="O11" s="1">
        <f t="shared" si="2"/>
        <v>0</v>
      </c>
      <c r="P11" s="1">
        <f t="shared" si="2"/>
        <v>0</v>
      </c>
      <c r="Q11" s="1">
        <f t="shared" si="2"/>
        <v>0</v>
      </c>
      <c r="R11" s="1">
        <f t="shared" si="2"/>
        <v>0</v>
      </c>
      <c r="S11" s="1">
        <f t="shared" si="2"/>
        <v>0</v>
      </c>
      <c r="T11" s="1">
        <f t="shared" si="2"/>
        <v>0</v>
      </c>
      <c r="U11" s="1">
        <f t="shared" si="2"/>
        <v>0</v>
      </c>
      <c r="V11" s="1">
        <f t="shared" si="2"/>
        <v>0</v>
      </c>
      <c r="W11" s="1">
        <f t="shared" si="2"/>
        <v>0</v>
      </c>
      <c r="X11" s="1">
        <f t="shared" si="2"/>
        <v>0</v>
      </c>
      <c r="Y11" s="1">
        <f t="shared" si="2"/>
        <v>0</v>
      </c>
      <c r="Z11" s="1">
        <f t="shared" si="2"/>
        <v>0</v>
      </c>
      <c r="AA11" s="1">
        <f t="shared" si="2"/>
        <v>0</v>
      </c>
      <c r="AB11" s="1">
        <f t="shared" si="2"/>
        <v>0</v>
      </c>
      <c r="AC11" s="1">
        <f t="shared" si="2"/>
        <v>10</v>
      </c>
    </row>
    <row r="12" spans="1:29" x14ac:dyDescent="0.3">
      <c r="A12" s="1" t="s">
        <v>265</v>
      </c>
      <c r="B12" s="1">
        <f t="shared" ref="B12:AC12" si="3">_xlfn.MODE.SNGL(B2:B9)</f>
        <v>0</v>
      </c>
      <c r="C12" s="1">
        <f t="shared" si="3"/>
        <v>0</v>
      </c>
      <c r="D12" s="1">
        <f t="shared" si="3"/>
        <v>0</v>
      </c>
      <c r="E12" s="1">
        <f t="shared" si="3"/>
        <v>0</v>
      </c>
      <c r="F12" s="1">
        <f t="shared" si="3"/>
        <v>0</v>
      </c>
      <c r="G12" s="1">
        <f t="shared" si="3"/>
        <v>2</v>
      </c>
      <c r="H12" s="1">
        <f t="shared" si="3"/>
        <v>2</v>
      </c>
      <c r="I12" s="1">
        <f t="shared" si="3"/>
        <v>2</v>
      </c>
      <c r="J12" s="1">
        <f t="shared" si="3"/>
        <v>1</v>
      </c>
      <c r="K12" s="1">
        <f t="shared" si="3"/>
        <v>1</v>
      </c>
      <c r="L12" s="1">
        <f t="shared" si="3"/>
        <v>1</v>
      </c>
      <c r="M12" s="1">
        <f t="shared" si="3"/>
        <v>0</v>
      </c>
      <c r="N12" s="1">
        <f t="shared" si="3"/>
        <v>1</v>
      </c>
      <c r="O12" s="1">
        <f t="shared" si="3"/>
        <v>0</v>
      </c>
      <c r="P12" s="1">
        <f t="shared" si="3"/>
        <v>0</v>
      </c>
      <c r="Q12" s="1">
        <f t="shared" si="3"/>
        <v>0</v>
      </c>
      <c r="R12" s="1">
        <f t="shared" si="3"/>
        <v>0</v>
      </c>
      <c r="S12" s="1">
        <f t="shared" si="3"/>
        <v>0</v>
      </c>
      <c r="T12" s="1">
        <f t="shared" si="3"/>
        <v>0</v>
      </c>
      <c r="U12" s="1">
        <f t="shared" si="3"/>
        <v>0</v>
      </c>
      <c r="V12" s="1">
        <f t="shared" si="3"/>
        <v>0</v>
      </c>
      <c r="W12" s="1">
        <f t="shared" si="3"/>
        <v>0</v>
      </c>
      <c r="X12" s="1">
        <f t="shared" si="3"/>
        <v>0</v>
      </c>
      <c r="Y12" s="1">
        <f t="shared" si="3"/>
        <v>0</v>
      </c>
      <c r="Z12" s="1">
        <f t="shared" si="3"/>
        <v>0</v>
      </c>
      <c r="AA12" s="1">
        <f t="shared" si="3"/>
        <v>0</v>
      </c>
      <c r="AB12" s="1">
        <f t="shared" si="3"/>
        <v>0</v>
      </c>
      <c r="AC12" s="1">
        <f t="shared" si="3"/>
        <v>10</v>
      </c>
    </row>
    <row r="13" spans="1:29" x14ac:dyDescent="0.3">
      <c r="A13" s="1" t="s">
        <v>266</v>
      </c>
      <c r="B13">
        <f t="shared" ref="B13:AC13" si="4">_xlfn.STDEV.P(B2:B9)</f>
        <v>0</v>
      </c>
      <c r="C13">
        <f t="shared" si="4"/>
        <v>0</v>
      </c>
      <c r="D13">
        <f t="shared" si="4"/>
        <v>0</v>
      </c>
      <c r="E13">
        <f t="shared" si="4"/>
        <v>0</v>
      </c>
      <c r="F13">
        <f t="shared" si="4"/>
        <v>0.70710678118654757</v>
      </c>
      <c r="G13">
        <f t="shared" si="4"/>
        <v>0.82915619758884995</v>
      </c>
      <c r="H13">
        <f t="shared" si="4"/>
        <v>0.70710678118654757</v>
      </c>
      <c r="I13">
        <f t="shared" si="4"/>
        <v>0.69597054535375269</v>
      </c>
      <c r="J13">
        <f t="shared" si="4"/>
        <v>0.33071891388307384</v>
      </c>
      <c r="K13">
        <f t="shared" si="4"/>
        <v>0.59947894041408989</v>
      </c>
      <c r="L13">
        <f t="shared" si="4"/>
        <v>0</v>
      </c>
      <c r="M13">
        <f t="shared" si="4"/>
        <v>0.69597054535375269</v>
      </c>
      <c r="N13">
        <f t="shared" si="4"/>
        <v>0.5</v>
      </c>
      <c r="O13">
        <f t="shared" si="4"/>
        <v>0</v>
      </c>
      <c r="P13">
        <f t="shared" si="4"/>
        <v>0</v>
      </c>
      <c r="Q13">
        <f t="shared" si="4"/>
        <v>0</v>
      </c>
      <c r="R13">
        <f t="shared" si="4"/>
        <v>0</v>
      </c>
      <c r="S13">
        <f t="shared" si="4"/>
        <v>0</v>
      </c>
      <c r="T13">
        <f t="shared" si="4"/>
        <v>0</v>
      </c>
      <c r="U13">
        <f t="shared" si="4"/>
        <v>0</v>
      </c>
      <c r="V13">
        <f t="shared" si="4"/>
        <v>0</v>
      </c>
      <c r="W13">
        <f t="shared" si="4"/>
        <v>0</v>
      </c>
      <c r="X13">
        <f t="shared" si="4"/>
        <v>0</v>
      </c>
      <c r="Y13">
        <f t="shared" si="4"/>
        <v>0</v>
      </c>
      <c r="Z13">
        <f t="shared" si="4"/>
        <v>0</v>
      </c>
      <c r="AA13">
        <f t="shared" si="4"/>
        <v>0</v>
      </c>
      <c r="AB13">
        <f t="shared" si="4"/>
        <v>0</v>
      </c>
      <c r="AC13">
        <f t="shared" si="4"/>
        <v>2.179449471770337</v>
      </c>
    </row>
  </sheetData>
  <conditionalFormatting sqref="B2:AB9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10:AC12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9">
    <cfRule type="colorScale" priority="3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8625-2A4C-45CE-BB00-01C497174A6D}">
  <dimension ref="A1:AC16"/>
  <sheetViews>
    <sheetView workbookViewId="0">
      <selection activeCell="V20" sqref="V20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373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2</v>
      </c>
      <c r="I2">
        <v>2</v>
      </c>
      <c r="J2">
        <v>2</v>
      </c>
      <c r="K2">
        <v>2</v>
      </c>
      <c r="L2">
        <v>1</v>
      </c>
      <c r="M2">
        <v>3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15</v>
      </c>
    </row>
    <row r="3" spans="1:29" x14ac:dyDescent="0.3">
      <c r="A3" s="1" t="s">
        <v>374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2</v>
      </c>
      <c r="J3">
        <v>2</v>
      </c>
      <c r="K3">
        <v>2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2" si="0">SUM(B3:AB3)</f>
        <v>12</v>
      </c>
    </row>
    <row r="4" spans="1:29" x14ac:dyDescent="0.3">
      <c r="A4" s="1" t="s">
        <v>375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2</v>
      </c>
      <c r="J4">
        <v>3</v>
      </c>
      <c r="K4">
        <v>1</v>
      </c>
      <c r="L4">
        <v>1</v>
      </c>
      <c r="M4">
        <v>1</v>
      </c>
      <c r="N4">
        <v>1</v>
      </c>
      <c r="O4">
        <v>2</v>
      </c>
      <c r="P4">
        <v>2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15</v>
      </c>
    </row>
    <row r="5" spans="1:29" x14ac:dyDescent="0.3">
      <c r="A5" s="1" t="s">
        <v>376</v>
      </c>
      <c r="B5">
        <v>0</v>
      </c>
      <c r="C5">
        <v>0</v>
      </c>
      <c r="D5">
        <v>0</v>
      </c>
      <c r="E5">
        <v>0</v>
      </c>
      <c r="F5">
        <v>1</v>
      </c>
      <c r="G5">
        <v>2</v>
      </c>
      <c r="H5">
        <v>1</v>
      </c>
      <c r="I5">
        <v>2</v>
      </c>
      <c r="J5">
        <v>2</v>
      </c>
      <c r="K5">
        <v>3</v>
      </c>
      <c r="L5">
        <v>2</v>
      </c>
      <c r="M5">
        <v>0</v>
      </c>
      <c r="N5">
        <v>2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17</v>
      </c>
    </row>
    <row r="6" spans="1:29" x14ac:dyDescent="0.3">
      <c r="A6" s="1" t="s">
        <v>377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3</v>
      </c>
      <c r="J6">
        <v>2</v>
      </c>
      <c r="K6">
        <v>2</v>
      </c>
      <c r="L6">
        <v>3</v>
      </c>
      <c r="M6">
        <v>2</v>
      </c>
      <c r="N6">
        <v>2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20</v>
      </c>
    </row>
    <row r="7" spans="1:29" x14ac:dyDescent="0.3">
      <c r="A7" s="1" t="s">
        <v>378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2</v>
      </c>
      <c r="I7">
        <v>3</v>
      </c>
      <c r="J7">
        <v>3</v>
      </c>
      <c r="K7">
        <v>3</v>
      </c>
      <c r="L7">
        <v>1</v>
      </c>
      <c r="M7">
        <v>1</v>
      </c>
      <c r="N7">
        <v>1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17</v>
      </c>
    </row>
    <row r="8" spans="1:29" x14ac:dyDescent="0.3">
      <c r="A8" s="1" t="s">
        <v>379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2</v>
      </c>
      <c r="I8">
        <v>2</v>
      </c>
      <c r="J8">
        <v>3</v>
      </c>
      <c r="K8">
        <v>2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0"/>
        <v>14</v>
      </c>
    </row>
    <row r="9" spans="1:29" x14ac:dyDescent="0.3">
      <c r="A9" s="1" t="s">
        <v>380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2</v>
      </c>
      <c r="K9">
        <v>2</v>
      </c>
      <c r="L9">
        <v>2</v>
      </c>
      <c r="M9">
        <v>2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14</v>
      </c>
    </row>
    <row r="10" spans="1:29" x14ac:dyDescent="0.3">
      <c r="A10" s="1" t="s">
        <v>381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  <c r="I10">
        <v>2</v>
      </c>
      <c r="J10">
        <v>2</v>
      </c>
      <c r="K10">
        <v>2</v>
      </c>
      <c r="L10">
        <v>3</v>
      </c>
      <c r="M10">
        <v>2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15</v>
      </c>
    </row>
    <row r="11" spans="1:29" x14ac:dyDescent="0.3">
      <c r="A11" s="1" t="s">
        <v>51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1</v>
      </c>
      <c r="K11">
        <v>3</v>
      </c>
      <c r="L11">
        <v>3</v>
      </c>
      <c r="M11">
        <v>3</v>
      </c>
      <c r="N11">
        <v>1</v>
      </c>
      <c r="O11">
        <v>2</v>
      </c>
      <c r="P11">
        <v>2</v>
      </c>
      <c r="Q11">
        <v>3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23</v>
      </c>
    </row>
    <row r="12" spans="1:29" x14ac:dyDescent="0.3">
      <c r="A12" s="1" t="s">
        <v>382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2</v>
      </c>
      <c r="J12">
        <v>2</v>
      </c>
      <c r="K12">
        <v>3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11</v>
      </c>
    </row>
    <row r="13" spans="1:29" x14ac:dyDescent="0.3">
      <c r="A13" s="6" t="s">
        <v>237</v>
      </c>
      <c r="B13" s="6">
        <f t="shared" ref="B13:AB13" si="1">AVERAGE(B2:B12)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0.63636363636363635</v>
      </c>
      <c r="G13" s="6">
        <f t="shared" si="1"/>
        <v>0.72727272727272729</v>
      </c>
      <c r="H13" s="6">
        <f t="shared" si="1"/>
        <v>1.1818181818181819</v>
      </c>
      <c r="I13" s="6">
        <f t="shared" si="1"/>
        <v>1.9090909090909092</v>
      </c>
      <c r="J13" s="6">
        <f t="shared" si="1"/>
        <v>2.1818181818181817</v>
      </c>
      <c r="K13" s="6">
        <f t="shared" si="1"/>
        <v>2.2727272727272729</v>
      </c>
      <c r="L13" s="6">
        <f t="shared" si="1"/>
        <v>1.7272727272727273</v>
      </c>
      <c r="M13" s="6">
        <f t="shared" si="1"/>
        <v>1.4545454545454546</v>
      </c>
      <c r="N13" s="6">
        <f t="shared" si="1"/>
        <v>1</v>
      </c>
      <c r="O13" s="6">
        <f t="shared" si="1"/>
        <v>0.90909090909090906</v>
      </c>
      <c r="P13" s="6">
        <f t="shared" si="1"/>
        <v>0.81818181818181823</v>
      </c>
      <c r="Q13" s="6">
        <f t="shared" si="1"/>
        <v>0.63636363636363635</v>
      </c>
      <c r="R13" s="6">
        <f t="shared" si="1"/>
        <v>0.27272727272727271</v>
      </c>
      <c r="S13" s="6">
        <f t="shared" si="1"/>
        <v>0</v>
      </c>
      <c r="T13" s="6">
        <f t="shared" si="1"/>
        <v>0</v>
      </c>
      <c r="U13" s="6">
        <f t="shared" si="1"/>
        <v>0</v>
      </c>
      <c r="V13" s="6">
        <f t="shared" si="1"/>
        <v>0</v>
      </c>
      <c r="W13" s="6">
        <f t="shared" si="1"/>
        <v>0</v>
      </c>
      <c r="X13" s="6">
        <f t="shared" si="1"/>
        <v>0</v>
      </c>
      <c r="Y13" s="6">
        <f t="shared" si="1"/>
        <v>0</v>
      </c>
      <c r="Z13" s="6">
        <f t="shared" si="1"/>
        <v>0</v>
      </c>
      <c r="AA13" s="6">
        <f t="shared" si="1"/>
        <v>0</v>
      </c>
      <c r="AB13" s="6">
        <f t="shared" si="1"/>
        <v>0</v>
      </c>
      <c r="AC13" s="6">
        <f>AVERAGE(AC2:AC12)</f>
        <v>15.727272727272727</v>
      </c>
    </row>
    <row r="14" spans="1:29" x14ac:dyDescent="0.3">
      <c r="A14" s="1" t="s">
        <v>264</v>
      </c>
      <c r="B14" s="1">
        <f t="shared" ref="B14:AC14" si="2">MEDIAN(B2:B12)</f>
        <v>0</v>
      </c>
      <c r="C14" s="1">
        <f t="shared" si="2"/>
        <v>0</v>
      </c>
      <c r="D14" s="1">
        <f t="shared" si="2"/>
        <v>0</v>
      </c>
      <c r="E14" s="1">
        <f t="shared" si="2"/>
        <v>0</v>
      </c>
      <c r="F14" s="1">
        <f t="shared" si="2"/>
        <v>1</v>
      </c>
      <c r="G14" s="1">
        <f t="shared" si="2"/>
        <v>1</v>
      </c>
      <c r="H14" s="1">
        <f t="shared" si="2"/>
        <v>1</v>
      </c>
      <c r="I14" s="1">
        <f t="shared" si="2"/>
        <v>2</v>
      </c>
      <c r="J14" s="1">
        <f t="shared" si="2"/>
        <v>2</v>
      </c>
      <c r="K14" s="1">
        <f t="shared" si="2"/>
        <v>2</v>
      </c>
      <c r="L14" s="1">
        <f t="shared" si="2"/>
        <v>1</v>
      </c>
      <c r="M14" s="1">
        <f t="shared" si="2"/>
        <v>1</v>
      </c>
      <c r="N14" s="1">
        <f t="shared" si="2"/>
        <v>1</v>
      </c>
      <c r="O14" s="1">
        <f t="shared" si="2"/>
        <v>1</v>
      </c>
      <c r="P14" s="1">
        <f t="shared" si="2"/>
        <v>1</v>
      </c>
      <c r="Q14" s="1">
        <f t="shared" si="2"/>
        <v>0</v>
      </c>
      <c r="R14" s="1">
        <f t="shared" si="2"/>
        <v>0</v>
      </c>
      <c r="S14" s="1">
        <f t="shared" si="2"/>
        <v>0</v>
      </c>
      <c r="T14" s="1">
        <f t="shared" si="2"/>
        <v>0</v>
      </c>
      <c r="U14" s="1">
        <f t="shared" si="2"/>
        <v>0</v>
      </c>
      <c r="V14" s="1">
        <f t="shared" si="2"/>
        <v>0</v>
      </c>
      <c r="W14" s="1">
        <f t="shared" si="2"/>
        <v>0</v>
      </c>
      <c r="X14" s="1">
        <f t="shared" si="2"/>
        <v>0</v>
      </c>
      <c r="Y14" s="1">
        <f t="shared" si="2"/>
        <v>0</v>
      </c>
      <c r="Z14" s="1">
        <f t="shared" si="2"/>
        <v>0</v>
      </c>
      <c r="AA14" s="1">
        <f t="shared" si="2"/>
        <v>0</v>
      </c>
      <c r="AB14" s="1">
        <f t="shared" si="2"/>
        <v>0</v>
      </c>
      <c r="AC14" s="1">
        <f t="shared" si="2"/>
        <v>15</v>
      </c>
    </row>
    <row r="15" spans="1:29" x14ac:dyDescent="0.3">
      <c r="A15" s="1" t="s">
        <v>265</v>
      </c>
      <c r="B15" s="1">
        <f t="shared" ref="B15:AC15" si="3">_xlfn.MODE.SNGL(B2:B12)</f>
        <v>0</v>
      </c>
      <c r="C15" s="1">
        <f t="shared" si="3"/>
        <v>0</v>
      </c>
      <c r="D15" s="1">
        <f t="shared" si="3"/>
        <v>0</v>
      </c>
      <c r="E15" s="1">
        <f t="shared" si="3"/>
        <v>0</v>
      </c>
      <c r="F15" s="1">
        <f t="shared" si="3"/>
        <v>1</v>
      </c>
      <c r="G15" s="1">
        <f t="shared" si="3"/>
        <v>1</v>
      </c>
      <c r="H15" s="1">
        <f t="shared" si="3"/>
        <v>1</v>
      </c>
      <c r="I15" s="1">
        <f t="shared" si="3"/>
        <v>2</v>
      </c>
      <c r="J15" s="1">
        <f t="shared" si="3"/>
        <v>2</v>
      </c>
      <c r="K15" s="1">
        <f t="shared" si="3"/>
        <v>2</v>
      </c>
      <c r="L15" s="1">
        <f t="shared" si="3"/>
        <v>1</v>
      </c>
      <c r="M15" s="1">
        <f t="shared" si="3"/>
        <v>1</v>
      </c>
      <c r="N15" s="1">
        <f t="shared" si="3"/>
        <v>1</v>
      </c>
      <c r="O15" s="1">
        <f t="shared" si="3"/>
        <v>0</v>
      </c>
      <c r="P15" s="1">
        <f t="shared" si="3"/>
        <v>1</v>
      </c>
      <c r="Q15" s="1">
        <f t="shared" si="3"/>
        <v>0</v>
      </c>
      <c r="R15" s="1">
        <f t="shared" si="3"/>
        <v>0</v>
      </c>
      <c r="S15" s="1">
        <f t="shared" si="3"/>
        <v>0</v>
      </c>
      <c r="T15" s="1">
        <f t="shared" si="3"/>
        <v>0</v>
      </c>
      <c r="U15" s="1">
        <f t="shared" si="3"/>
        <v>0</v>
      </c>
      <c r="V15" s="1">
        <f t="shared" si="3"/>
        <v>0</v>
      </c>
      <c r="W15" s="1">
        <f t="shared" si="3"/>
        <v>0</v>
      </c>
      <c r="X15" s="1">
        <f t="shared" si="3"/>
        <v>0</v>
      </c>
      <c r="Y15" s="1">
        <f t="shared" si="3"/>
        <v>0</v>
      </c>
      <c r="Z15" s="1">
        <f t="shared" si="3"/>
        <v>0</v>
      </c>
      <c r="AA15" s="1">
        <f t="shared" si="3"/>
        <v>0</v>
      </c>
      <c r="AB15" s="1">
        <f t="shared" si="3"/>
        <v>0</v>
      </c>
      <c r="AC15" s="1">
        <f t="shared" si="3"/>
        <v>15</v>
      </c>
    </row>
    <row r="16" spans="1:29" x14ac:dyDescent="0.3">
      <c r="A16" s="1" t="s">
        <v>266</v>
      </c>
      <c r="B16">
        <f t="shared" ref="B16:AC16" si="4">_xlfn.STDEV.P(B2:B12)</f>
        <v>0</v>
      </c>
      <c r="C16">
        <f t="shared" si="4"/>
        <v>0</v>
      </c>
      <c r="D16">
        <f t="shared" si="4"/>
        <v>0</v>
      </c>
      <c r="E16">
        <f t="shared" si="4"/>
        <v>0</v>
      </c>
      <c r="F16">
        <f t="shared" si="4"/>
        <v>0.48104569292083466</v>
      </c>
      <c r="G16">
        <f t="shared" si="4"/>
        <v>0.61657545301138805</v>
      </c>
      <c r="H16">
        <f t="shared" si="4"/>
        <v>0.57495957457606894</v>
      </c>
      <c r="I16">
        <f t="shared" si="4"/>
        <v>0.79252708064375887</v>
      </c>
      <c r="J16">
        <f t="shared" si="4"/>
        <v>0.57495957457606894</v>
      </c>
      <c r="K16">
        <f t="shared" si="4"/>
        <v>0.61657545301138805</v>
      </c>
      <c r="L16">
        <f t="shared" si="4"/>
        <v>0.86243936186410342</v>
      </c>
      <c r="M16">
        <f t="shared" si="4"/>
        <v>0.98752549920001964</v>
      </c>
      <c r="N16">
        <f t="shared" si="4"/>
        <v>0.60302268915552726</v>
      </c>
      <c r="O16">
        <f t="shared" si="4"/>
        <v>0.79252708064375887</v>
      </c>
      <c r="P16">
        <f t="shared" si="4"/>
        <v>0.71581889763743733</v>
      </c>
      <c r="Q16">
        <f t="shared" si="4"/>
        <v>0.88139633771205983</v>
      </c>
      <c r="R16">
        <f t="shared" si="4"/>
        <v>0.86243936186410342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3.2777738867854449</v>
      </c>
    </row>
  </sheetData>
  <phoneticPr fontId="2" type="noConversion"/>
  <conditionalFormatting sqref="B2:AB12">
    <cfRule type="colorScale" priority="4">
      <colorScale>
        <cfvo type="num" val="0"/>
        <cfvo type="num" val="3"/>
        <color theme="0"/>
        <color theme="6" tint="0.39997558519241921"/>
      </colorScale>
    </cfRule>
  </conditionalFormatting>
  <conditionalFormatting sqref="B13:AC15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12">
    <cfRule type="colorScale" priority="5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3CE-747D-4039-BC8B-D41B5259B5B5}">
  <dimension ref="A1:AC17"/>
  <sheetViews>
    <sheetView workbookViewId="0">
      <selection activeCell="N13" sqref="N13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383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0</v>
      </c>
    </row>
    <row r="3" spans="1:29" x14ac:dyDescent="0.3">
      <c r="A3" s="1" t="s">
        <v>384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3" si="0">SUM(B3:AB3)</f>
        <v>0</v>
      </c>
    </row>
    <row r="4" spans="1:29" x14ac:dyDescent="0.3">
      <c r="A4" s="1" t="s">
        <v>385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0</v>
      </c>
    </row>
    <row r="5" spans="1:29" x14ac:dyDescent="0.3">
      <c r="A5" s="1" t="s">
        <v>386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0</v>
      </c>
    </row>
    <row r="6" spans="1:29" x14ac:dyDescent="0.3">
      <c r="A6" s="1" t="s">
        <v>387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0</v>
      </c>
    </row>
    <row r="7" spans="1:29" x14ac:dyDescent="0.3">
      <c r="A7" s="1" t="s">
        <v>388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0</v>
      </c>
    </row>
    <row r="8" spans="1:29" x14ac:dyDescent="0.3">
      <c r="A8" s="1" t="s">
        <v>389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>SUM(B8:AB8)</f>
        <v>0</v>
      </c>
    </row>
    <row r="9" spans="1:29" x14ac:dyDescent="0.3">
      <c r="A9" s="1" t="s">
        <v>390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0</v>
      </c>
    </row>
    <row r="10" spans="1:29" x14ac:dyDescent="0.3">
      <c r="A10" s="1" t="s">
        <v>391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0</v>
      </c>
    </row>
    <row r="11" spans="1:29" x14ac:dyDescent="0.3">
      <c r="A11" s="1" t="s">
        <v>392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0</v>
      </c>
    </row>
    <row r="12" spans="1:29" x14ac:dyDescent="0.3">
      <c r="A12" s="1" t="s">
        <v>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0</v>
      </c>
    </row>
    <row r="13" spans="1:29" x14ac:dyDescent="0.3">
      <c r="A13" s="1" t="s">
        <v>394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 t="shared" si="0"/>
        <v>3</v>
      </c>
    </row>
    <row r="14" spans="1:29" x14ac:dyDescent="0.3">
      <c r="A14" s="6" t="s">
        <v>237</v>
      </c>
      <c r="B14" s="6">
        <f t="shared" ref="B14:AC14" si="1">AVERAGE(B2:B13)</f>
        <v>0</v>
      </c>
      <c r="C14" s="6">
        <f t="shared" si="1"/>
        <v>0</v>
      </c>
      <c r="D14" s="6">
        <f t="shared" si="1"/>
        <v>0</v>
      </c>
      <c r="E14" s="6">
        <f t="shared" si="1"/>
        <v>0</v>
      </c>
      <c r="F14" s="6">
        <f t="shared" si="1"/>
        <v>0</v>
      </c>
      <c r="G14" s="6">
        <f t="shared" si="1"/>
        <v>0</v>
      </c>
      <c r="H14" s="6">
        <f t="shared" si="1"/>
        <v>0</v>
      </c>
      <c r="I14" s="6">
        <f t="shared" si="1"/>
        <v>0</v>
      </c>
      <c r="J14" s="6">
        <f t="shared" si="1"/>
        <v>0</v>
      </c>
      <c r="K14" s="6">
        <f t="shared" si="1"/>
        <v>8.3333333333333329E-2</v>
      </c>
      <c r="L14" s="6">
        <f t="shared" si="1"/>
        <v>8.3333333333333329E-2</v>
      </c>
      <c r="M14" s="6">
        <f t="shared" si="1"/>
        <v>8.3333333333333329E-2</v>
      </c>
      <c r="N14" s="6">
        <f t="shared" si="1"/>
        <v>0</v>
      </c>
      <c r="O14" s="6">
        <f t="shared" si="1"/>
        <v>0</v>
      </c>
      <c r="P14" s="6">
        <f t="shared" si="1"/>
        <v>0</v>
      </c>
      <c r="Q14" s="6">
        <f t="shared" si="1"/>
        <v>0</v>
      </c>
      <c r="R14" s="6">
        <f t="shared" si="1"/>
        <v>0</v>
      </c>
      <c r="S14" s="6">
        <f t="shared" si="1"/>
        <v>0</v>
      </c>
      <c r="T14" s="6">
        <f t="shared" si="1"/>
        <v>0</v>
      </c>
      <c r="U14" s="6">
        <f t="shared" si="1"/>
        <v>0</v>
      </c>
      <c r="V14" s="6">
        <f t="shared" si="1"/>
        <v>0</v>
      </c>
      <c r="W14" s="6">
        <f t="shared" si="1"/>
        <v>0</v>
      </c>
      <c r="X14" s="6">
        <f t="shared" si="1"/>
        <v>0</v>
      </c>
      <c r="Y14" s="6">
        <f t="shared" si="1"/>
        <v>0</v>
      </c>
      <c r="Z14" s="6">
        <f t="shared" si="1"/>
        <v>0</v>
      </c>
      <c r="AA14" s="6">
        <f t="shared" si="1"/>
        <v>0</v>
      </c>
      <c r="AB14" s="6">
        <f t="shared" si="1"/>
        <v>0</v>
      </c>
      <c r="AC14" s="6">
        <f t="shared" si="1"/>
        <v>0.25</v>
      </c>
    </row>
    <row r="15" spans="1:29" x14ac:dyDescent="0.3">
      <c r="A15" s="1" t="s">
        <v>264</v>
      </c>
      <c r="B15" s="1">
        <f t="shared" ref="B15:AC15" si="2">MEDIAN(B2:B13)</f>
        <v>0</v>
      </c>
      <c r="C15" s="1">
        <f t="shared" si="2"/>
        <v>0</v>
      </c>
      <c r="D15" s="1">
        <f t="shared" si="2"/>
        <v>0</v>
      </c>
      <c r="E15" s="1">
        <f t="shared" si="2"/>
        <v>0</v>
      </c>
      <c r="F15" s="1">
        <f t="shared" si="2"/>
        <v>0</v>
      </c>
      <c r="G15" s="1">
        <f t="shared" si="2"/>
        <v>0</v>
      </c>
      <c r="H15" s="1">
        <f t="shared" si="2"/>
        <v>0</v>
      </c>
      <c r="I15" s="1">
        <f t="shared" si="2"/>
        <v>0</v>
      </c>
      <c r="J15" s="1">
        <f t="shared" si="2"/>
        <v>0</v>
      </c>
      <c r="K15" s="1">
        <f t="shared" si="2"/>
        <v>0</v>
      </c>
      <c r="L15" s="1">
        <f t="shared" si="2"/>
        <v>0</v>
      </c>
      <c r="M15" s="1">
        <f t="shared" si="2"/>
        <v>0</v>
      </c>
      <c r="N15" s="1">
        <f t="shared" si="2"/>
        <v>0</v>
      </c>
      <c r="O15" s="1">
        <f t="shared" si="2"/>
        <v>0</v>
      </c>
      <c r="P15" s="1">
        <f t="shared" si="2"/>
        <v>0</v>
      </c>
      <c r="Q15" s="1">
        <f t="shared" si="2"/>
        <v>0</v>
      </c>
      <c r="R15" s="1">
        <f t="shared" si="2"/>
        <v>0</v>
      </c>
      <c r="S15" s="1">
        <f t="shared" si="2"/>
        <v>0</v>
      </c>
      <c r="T15" s="1">
        <f t="shared" si="2"/>
        <v>0</v>
      </c>
      <c r="U15" s="1">
        <f t="shared" si="2"/>
        <v>0</v>
      </c>
      <c r="V15" s="1">
        <f t="shared" si="2"/>
        <v>0</v>
      </c>
      <c r="W15" s="1">
        <f t="shared" si="2"/>
        <v>0</v>
      </c>
      <c r="X15" s="1">
        <f t="shared" si="2"/>
        <v>0</v>
      </c>
      <c r="Y15" s="1">
        <f t="shared" si="2"/>
        <v>0</v>
      </c>
      <c r="Z15" s="1">
        <f t="shared" si="2"/>
        <v>0</v>
      </c>
      <c r="AA15" s="1">
        <f t="shared" si="2"/>
        <v>0</v>
      </c>
      <c r="AB15" s="1">
        <f t="shared" si="2"/>
        <v>0</v>
      </c>
      <c r="AC15" s="1">
        <f t="shared" si="2"/>
        <v>0</v>
      </c>
    </row>
    <row r="16" spans="1:29" x14ac:dyDescent="0.3">
      <c r="A16" s="1" t="s">
        <v>265</v>
      </c>
      <c r="B16" s="1">
        <f t="shared" ref="B16:AC16" si="3">_xlfn.MODE.SNGL(B2:B13)</f>
        <v>0</v>
      </c>
      <c r="C16" s="1">
        <f t="shared" si="3"/>
        <v>0</v>
      </c>
      <c r="D16" s="1">
        <f t="shared" si="3"/>
        <v>0</v>
      </c>
      <c r="E16" s="1">
        <f t="shared" si="3"/>
        <v>0</v>
      </c>
      <c r="F16" s="1">
        <f t="shared" si="3"/>
        <v>0</v>
      </c>
      <c r="G16" s="1">
        <f t="shared" si="3"/>
        <v>0</v>
      </c>
      <c r="H16" s="1">
        <f t="shared" si="3"/>
        <v>0</v>
      </c>
      <c r="I16" s="1">
        <f t="shared" si="3"/>
        <v>0</v>
      </c>
      <c r="J16" s="1">
        <f t="shared" si="3"/>
        <v>0</v>
      </c>
      <c r="K16" s="1">
        <f t="shared" si="3"/>
        <v>0</v>
      </c>
      <c r="L16" s="1">
        <f t="shared" si="3"/>
        <v>0</v>
      </c>
      <c r="M16" s="1">
        <f t="shared" si="3"/>
        <v>0</v>
      </c>
      <c r="N16" s="1">
        <f t="shared" si="3"/>
        <v>0</v>
      </c>
      <c r="O16" s="1">
        <f t="shared" si="3"/>
        <v>0</v>
      </c>
      <c r="P16" s="1">
        <f t="shared" si="3"/>
        <v>0</v>
      </c>
      <c r="Q16" s="1">
        <f t="shared" si="3"/>
        <v>0</v>
      </c>
      <c r="R16" s="1">
        <f t="shared" si="3"/>
        <v>0</v>
      </c>
      <c r="S16" s="1">
        <f t="shared" si="3"/>
        <v>0</v>
      </c>
      <c r="T16" s="1">
        <f t="shared" si="3"/>
        <v>0</v>
      </c>
      <c r="U16" s="1">
        <f t="shared" si="3"/>
        <v>0</v>
      </c>
      <c r="V16" s="1">
        <f t="shared" si="3"/>
        <v>0</v>
      </c>
      <c r="W16" s="1">
        <f t="shared" si="3"/>
        <v>0</v>
      </c>
      <c r="X16" s="1">
        <f t="shared" si="3"/>
        <v>0</v>
      </c>
      <c r="Y16" s="1">
        <f t="shared" si="3"/>
        <v>0</v>
      </c>
      <c r="Z16" s="1">
        <f t="shared" si="3"/>
        <v>0</v>
      </c>
      <c r="AA16" s="1">
        <f t="shared" si="3"/>
        <v>0</v>
      </c>
      <c r="AB16" s="1">
        <f t="shared" si="3"/>
        <v>0</v>
      </c>
      <c r="AC16" s="1">
        <f t="shared" si="3"/>
        <v>0</v>
      </c>
    </row>
    <row r="17" spans="1:29" x14ac:dyDescent="0.3">
      <c r="A17" s="1" t="s">
        <v>266</v>
      </c>
      <c r="B17">
        <f t="shared" ref="B17:AC17" si="4">_xlfn.STDEV.P(B2:B13)</f>
        <v>0</v>
      </c>
      <c r="C17">
        <f t="shared" si="4"/>
        <v>0</v>
      </c>
      <c r="D17">
        <f t="shared" si="4"/>
        <v>0</v>
      </c>
      <c r="E17">
        <f t="shared" si="4"/>
        <v>0</v>
      </c>
      <c r="F17">
        <f t="shared" si="4"/>
        <v>0</v>
      </c>
      <c r="G17">
        <f t="shared" si="4"/>
        <v>0</v>
      </c>
      <c r="H17">
        <f t="shared" si="4"/>
        <v>0</v>
      </c>
      <c r="I17">
        <f t="shared" si="4"/>
        <v>0</v>
      </c>
      <c r="J17">
        <f t="shared" si="4"/>
        <v>0</v>
      </c>
      <c r="K17">
        <f t="shared" si="4"/>
        <v>0.27638539919628335</v>
      </c>
      <c r="L17">
        <f t="shared" si="4"/>
        <v>0.27638539919628335</v>
      </c>
      <c r="M17">
        <f t="shared" si="4"/>
        <v>0.27638539919628335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0</v>
      </c>
      <c r="R17">
        <f t="shared" si="4"/>
        <v>0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4"/>
        <v>0</v>
      </c>
      <c r="W17">
        <f t="shared" si="4"/>
        <v>0</v>
      </c>
      <c r="X17">
        <f t="shared" si="4"/>
        <v>0</v>
      </c>
      <c r="Y17">
        <f t="shared" si="4"/>
        <v>0</v>
      </c>
      <c r="Z17">
        <f t="shared" si="4"/>
        <v>0</v>
      </c>
      <c r="AA17">
        <f t="shared" si="4"/>
        <v>0</v>
      </c>
      <c r="AB17">
        <f t="shared" si="4"/>
        <v>0</v>
      </c>
      <c r="AC17">
        <f t="shared" si="4"/>
        <v>0.82915619758884995</v>
      </c>
    </row>
  </sheetData>
  <conditionalFormatting sqref="B2:AB13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14:AC16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13">
    <cfRule type="colorScale" priority="3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B81E-D5F7-4006-80B5-65F49FAED043}">
  <dimension ref="A1:AC17"/>
  <sheetViews>
    <sheetView workbookViewId="0">
      <selection activeCell="M9" sqref="M9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5" t="s">
        <v>252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 t="s">
        <v>253</v>
      </c>
    </row>
    <row r="2" spans="1:29" x14ac:dyDescent="0.3">
      <c r="A2" s="1" t="s">
        <v>395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SUM(B2:AB2)</f>
        <v>0</v>
      </c>
    </row>
    <row r="3" spans="1:29" x14ac:dyDescent="0.3">
      <c r="A3" s="1" t="s">
        <v>396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3" si="0">SUM(B3:AB3)</f>
        <v>0</v>
      </c>
    </row>
    <row r="4" spans="1:29" x14ac:dyDescent="0.3">
      <c r="A4" s="1" t="s">
        <v>397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0</v>
      </c>
    </row>
    <row r="5" spans="1:29" x14ac:dyDescent="0.3">
      <c r="A5" s="1" t="s">
        <v>398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0</v>
      </c>
    </row>
    <row r="6" spans="1:29" x14ac:dyDescent="0.3">
      <c r="A6" s="1" t="s">
        <v>399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0</v>
      </c>
    </row>
    <row r="7" spans="1:29" x14ac:dyDescent="0.3">
      <c r="A7" s="1" t="s">
        <v>400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0</v>
      </c>
    </row>
    <row r="8" spans="1:29" x14ac:dyDescent="0.3">
      <c r="A8" s="1" t="s">
        <v>401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>SUM(B8:AB8)</f>
        <v>0</v>
      </c>
    </row>
    <row r="9" spans="1:29" x14ac:dyDescent="0.3">
      <c r="A9" s="1" t="s">
        <v>402</v>
      </c>
      <c r="B9">
        <v>0</v>
      </c>
      <c r="C9">
        <v>0</v>
      </c>
      <c r="D9">
        <v>0</v>
      </c>
      <c r="E9">
        <v>0</v>
      </c>
      <c r="F9">
        <v>1</v>
      </c>
      <c r="G9">
        <v>2</v>
      </c>
      <c r="H9">
        <v>2</v>
      </c>
      <c r="I9">
        <v>2</v>
      </c>
      <c r="J9">
        <v>2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12</v>
      </c>
    </row>
    <row r="10" spans="1:29" x14ac:dyDescent="0.3">
      <c r="A10" s="1" t="s">
        <v>403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0</v>
      </c>
    </row>
    <row r="11" spans="1:29" x14ac:dyDescent="0.3">
      <c r="A11" s="1" t="s">
        <v>404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0</v>
      </c>
    </row>
    <row r="12" spans="1:29" x14ac:dyDescent="0.3">
      <c r="A12" s="1" t="s">
        <v>405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0</v>
      </c>
    </row>
    <row r="13" spans="1:29" x14ac:dyDescent="0.3">
      <c r="A13" s="1" t="s">
        <v>406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 t="shared" si="0"/>
        <v>0</v>
      </c>
    </row>
    <row r="14" spans="1:29" x14ac:dyDescent="0.3">
      <c r="A14" s="6" t="s">
        <v>237</v>
      </c>
      <c r="B14" s="6">
        <f t="shared" ref="B14:AC14" si="1">AVERAGE(B2:B13)</f>
        <v>0</v>
      </c>
      <c r="C14" s="6">
        <f t="shared" si="1"/>
        <v>0</v>
      </c>
      <c r="D14" s="6">
        <f t="shared" si="1"/>
        <v>0</v>
      </c>
      <c r="E14" s="6">
        <f t="shared" si="1"/>
        <v>0</v>
      </c>
      <c r="F14" s="6">
        <f t="shared" si="1"/>
        <v>8.3333333333333329E-2</v>
      </c>
      <c r="G14" s="6">
        <f t="shared" si="1"/>
        <v>0.16666666666666666</v>
      </c>
      <c r="H14" s="6">
        <f t="shared" si="1"/>
        <v>0.16666666666666666</v>
      </c>
      <c r="I14" s="6">
        <f t="shared" si="1"/>
        <v>0.16666666666666666</v>
      </c>
      <c r="J14" s="6">
        <f t="shared" si="1"/>
        <v>0.16666666666666666</v>
      </c>
      <c r="K14" s="6">
        <f t="shared" si="1"/>
        <v>0.16666666666666666</v>
      </c>
      <c r="L14" s="6">
        <f t="shared" si="1"/>
        <v>8.3333333333333329E-2</v>
      </c>
      <c r="M14" s="6">
        <f t="shared" si="1"/>
        <v>0</v>
      </c>
      <c r="N14" s="6">
        <f t="shared" si="1"/>
        <v>0</v>
      </c>
      <c r="O14" s="6">
        <f t="shared" si="1"/>
        <v>0</v>
      </c>
      <c r="P14" s="6">
        <f t="shared" si="1"/>
        <v>0</v>
      </c>
      <c r="Q14" s="6">
        <f t="shared" si="1"/>
        <v>0</v>
      </c>
      <c r="R14" s="6">
        <f t="shared" si="1"/>
        <v>0</v>
      </c>
      <c r="S14" s="6">
        <f t="shared" si="1"/>
        <v>0</v>
      </c>
      <c r="T14" s="6">
        <f t="shared" si="1"/>
        <v>0</v>
      </c>
      <c r="U14" s="6">
        <f t="shared" si="1"/>
        <v>0</v>
      </c>
      <c r="V14" s="6">
        <f t="shared" si="1"/>
        <v>0</v>
      </c>
      <c r="W14" s="6">
        <f t="shared" si="1"/>
        <v>0</v>
      </c>
      <c r="X14" s="6">
        <f t="shared" si="1"/>
        <v>0</v>
      </c>
      <c r="Y14" s="6">
        <f t="shared" si="1"/>
        <v>0</v>
      </c>
      <c r="Z14" s="6">
        <f t="shared" si="1"/>
        <v>0</v>
      </c>
      <c r="AA14" s="6">
        <f t="shared" si="1"/>
        <v>0</v>
      </c>
      <c r="AB14" s="6">
        <f t="shared" si="1"/>
        <v>0</v>
      </c>
      <c r="AC14" s="6">
        <f t="shared" si="1"/>
        <v>1</v>
      </c>
    </row>
    <row r="15" spans="1:29" x14ac:dyDescent="0.3">
      <c r="A15" s="1" t="s">
        <v>264</v>
      </c>
      <c r="B15" s="1">
        <f t="shared" ref="B15:AC15" si="2">MEDIAN(B2:B13)</f>
        <v>0</v>
      </c>
      <c r="C15" s="1">
        <f t="shared" si="2"/>
        <v>0</v>
      </c>
      <c r="D15" s="1">
        <f t="shared" si="2"/>
        <v>0</v>
      </c>
      <c r="E15" s="1">
        <f t="shared" si="2"/>
        <v>0</v>
      </c>
      <c r="F15" s="1">
        <f t="shared" si="2"/>
        <v>0</v>
      </c>
      <c r="G15" s="1">
        <f t="shared" si="2"/>
        <v>0</v>
      </c>
      <c r="H15" s="1">
        <f t="shared" si="2"/>
        <v>0</v>
      </c>
      <c r="I15" s="1">
        <f t="shared" si="2"/>
        <v>0</v>
      </c>
      <c r="J15" s="1">
        <f t="shared" si="2"/>
        <v>0</v>
      </c>
      <c r="K15" s="1">
        <f t="shared" si="2"/>
        <v>0</v>
      </c>
      <c r="L15" s="1">
        <f t="shared" si="2"/>
        <v>0</v>
      </c>
      <c r="M15" s="1">
        <f t="shared" si="2"/>
        <v>0</v>
      </c>
      <c r="N15" s="1">
        <f t="shared" si="2"/>
        <v>0</v>
      </c>
      <c r="O15" s="1">
        <f t="shared" si="2"/>
        <v>0</v>
      </c>
      <c r="P15" s="1">
        <f t="shared" si="2"/>
        <v>0</v>
      </c>
      <c r="Q15" s="1">
        <f t="shared" si="2"/>
        <v>0</v>
      </c>
      <c r="R15" s="1">
        <f t="shared" si="2"/>
        <v>0</v>
      </c>
      <c r="S15" s="1">
        <f t="shared" si="2"/>
        <v>0</v>
      </c>
      <c r="T15" s="1">
        <f t="shared" si="2"/>
        <v>0</v>
      </c>
      <c r="U15" s="1">
        <f t="shared" si="2"/>
        <v>0</v>
      </c>
      <c r="V15" s="1">
        <f t="shared" si="2"/>
        <v>0</v>
      </c>
      <c r="W15" s="1">
        <f t="shared" si="2"/>
        <v>0</v>
      </c>
      <c r="X15" s="1">
        <f t="shared" si="2"/>
        <v>0</v>
      </c>
      <c r="Y15" s="1">
        <f t="shared" si="2"/>
        <v>0</v>
      </c>
      <c r="Z15" s="1">
        <f t="shared" si="2"/>
        <v>0</v>
      </c>
      <c r="AA15" s="1">
        <f t="shared" si="2"/>
        <v>0</v>
      </c>
      <c r="AB15" s="1">
        <f t="shared" si="2"/>
        <v>0</v>
      </c>
      <c r="AC15" s="1">
        <f t="shared" si="2"/>
        <v>0</v>
      </c>
    </row>
    <row r="16" spans="1:29" x14ac:dyDescent="0.3">
      <c r="A16" s="1" t="s">
        <v>265</v>
      </c>
      <c r="B16" s="1">
        <f t="shared" ref="B16:AC16" si="3">_xlfn.MODE.SNGL(B2:B13)</f>
        <v>0</v>
      </c>
      <c r="C16" s="1">
        <f t="shared" si="3"/>
        <v>0</v>
      </c>
      <c r="D16" s="1">
        <f t="shared" si="3"/>
        <v>0</v>
      </c>
      <c r="E16" s="1">
        <f t="shared" si="3"/>
        <v>0</v>
      </c>
      <c r="F16" s="1">
        <f t="shared" si="3"/>
        <v>0</v>
      </c>
      <c r="G16" s="1">
        <f t="shared" si="3"/>
        <v>0</v>
      </c>
      <c r="H16" s="1">
        <f t="shared" si="3"/>
        <v>0</v>
      </c>
      <c r="I16" s="1">
        <f t="shared" si="3"/>
        <v>0</v>
      </c>
      <c r="J16" s="1">
        <f t="shared" si="3"/>
        <v>0</v>
      </c>
      <c r="K16" s="1">
        <f t="shared" si="3"/>
        <v>0</v>
      </c>
      <c r="L16" s="1">
        <f t="shared" si="3"/>
        <v>0</v>
      </c>
      <c r="M16" s="1">
        <f t="shared" si="3"/>
        <v>0</v>
      </c>
      <c r="N16" s="1">
        <f t="shared" si="3"/>
        <v>0</v>
      </c>
      <c r="O16" s="1">
        <f t="shared" si="3"/>
        <v>0</v>
      </c>
      <c r="P16" s="1">
        <f t="shared" si="3"/>
        <v>0</v>
      </c>
      <c r="Q16" s="1">
        <f t="shared" si="3"/>
        <v>0</v>
      </c>
      <c r="R16" s="1">
        <f t="shared" si="3"/>
        <v>0</v>
      </c>
      <c r="S16" s="1">
        <f t="shared" si="3"/>
        <v>0</v>
      </c>
      <c r="T16" s="1">
        <f t="shared" si="3"/>
        <v>0</v>
      </c>
      <c r="U16" s="1">
        <f t="shared" si="3"/>
        <v>0</v>
      </c>
      <c r="V16" s="1">
        <f t="shared" si="3"/>
        <v>0</v>
      </c>
      <c r="W16" s="1">
        <f t="shared" si="3"/>
        <v>0</v>
      </c>
      <c r="X16" s="1">
        <f t="shared" si="3"/>
        <v>0</v>
      </c>
      <c r="Y16" s="1">
        <f t="shared" si="3"/>
        <v>0</v>
      </c>
      <c r="Z16" s="1">
        <f t="shared" si="3"/>
        <v>0</v>
      </c>
      <c r="AA16" s="1">
        <f t="shared" si="3"/>
        <v>0</v>
      </c>
      <c r="AB16" s="1">
        <f t="shared" si="3"/>
        <v>0</v>
      </c>
      <c r="AC16" s="1">
        <f t="shared" si="3"/>
        <v>0</v>
      </c>
    </row>
    <row r="17" spans="1:29" x14ac:dyDescent="0.3">
      <c r="A17" s="1" t="s">
        <v>266</v>
      </c>
      <c r="B17">
        <f t="shared" ref="B17:AC17" si="4">_xlfn.STDEV.P(B2:B13)</f>
        <v>0</v>
      </c>
      <c r="C17">
        <f t="shared" si="4"/>
        <v>0</v>
      </c>
      <c r="D17">
        <f t="shared" si="4"/>
        <v>0</v>
      </c>
      <c r="E17">
        <f t="shared" si="4"/>
        <v>0</v>
      </c>
      <c r="F17">
        <f t="shared" si="4"/>
        <v>0.27638539919628335</v>
      </c>
      <c r="G17">
        <f t="shared" si="4"/>
        <v>0.55277079839256671</v>
      </c>
      <c r="H17">
        <f t="shared" si="4"/>
        <v>0.55277079839256671</v>
      </c>
      <c r="I17">
        <f t="shared" si="4"/>
        <v>0.55277079839256671</v>
      </c>
      <c r="J17">
        <f t="shared" si="4"/>
        <v>0.55277079839256671</v>
      </c>
      <c r="K17">
        <f t="shared" si="4"/>
        <v>0.55277079839256671</v>
      </c>
      <c r="L17">
        <f t="shared" si="4"/>
        <v>0.27638539919628335</v>
      </c>
      <c r="M17">
        <f t="shared" si="4"/>
        <v>0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0</v>
      </c>
      <c r="R17">
        <f t="shared" si="4"/>
        <v>0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4"/>
        <v>0</v>
      </c>
      <c r="W17">
        <f t="shared" si="4"/>
        <v>0</v>
      </c>
      <c r="X17">
        <f t="shared" si="4"/>
        <v>0</v>
      </c>
      <c r="Y17">
        <f t="shared" si="4"/>
        <v>0</v>
      </c>
      <c r="Z17">
        <f t="shared" si="4"/>
        <v>0</v>
      </c>
      <c r="AA17">
        <f t="shared" si="4"/>
        <v>0</v>
      </c>
      <c r="AB17">
        <f t="shared" si="4"/>
        <v>0</v>
      </c>
      <c r="AC17">
        <f t="shared" si="4"/>
        <v>3.3166247903553998</v>
      </c>
    </row>
  </sheetData>
  <conditionalFormatting sqref="B2:AB13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14:AC16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13">
    <cfRule type="colorScale" priority="3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239F-F4C6-4E8B-B21A-4ED47E407EFE}">
  <dimension ref="A1:AC19"/>
  <sheetViews>
    <sheetView workbookViewId="0">
      <selection activeCell="R15" sqref="R15"/>
    </sheetView>
  </sheetViews>
  <sheetFormatPr defaultColWidth="4" defaultRowHeight="14.4" x14ac:dyDescent="0.3"/>
  <cols>
    <col min="1" max="1" width="16.8984375" style="1" customWidth="1"/>
    <col min="29" max="29" width="7.296875" bestFit="1" customWidth="1"/>
  </cols>
  <sheetData>
    <row r="1" spans="1:29" s="1" customFormat="1" x14ac:dyDescent="0.3">
      <c r="A1" s="31" t="s">
        <v>252</v>
      </c>
      <c r="B1" s="32">
        <v>1</v>
      </c>
      <c r="C1" s="32">
        <v>2</v>
      </c>
      <c r="D1" s="32">
        <v>3</v>
      </c>
      <c r="E1" s="32">
        <v>4</v>
      </c>
      <c r="F1" s="32">
        <v>5</v>
      </c>
      <c r="G1" s="32">
        <v>6</v>
      </c>
      <c r="H1" s="32">
        <v>7</v>
      </c>
      <c r="I1" s="32">
        <v>8</v>
      </c>
      <c r="J1" s="32">
        <v>9</v>
      </c>
      <c r="K1" s="32">
        <v>10</v>
      </c>
      <c r="L1" s="32">
        <v>11</v>
      </c>
      <c r="M1" s="32">
        <v>12</v>
      </c>
      <c r="N1" s="32">
        <v>13</v>
      </c>
      <c r="O1" s="32">
        <v>14</v>
      </c>
      <c r="P1" s="32">
        <v>15</v>
      </c>
      <c r="Q1" s="32">
        <v>16</v>
      </c>
      <c r="R1" s="32">
        <v>17</v>
      </c>
      <c r="S1" s="32">
        <v>18</v>
      </c>
      <c r="T1" s="32">
        <v>19</v>
      </c>
      <c r="U1" s="32">
        <v>20</v>
      </c>
      <c r="V1" s="32">
        <v>21</v>
      </c>
      <c r="W1" s="32">
        <v>22</v>
      </c>
      <c r="X1" s="32">
        <v>23</v>
      </c>
      <c r="Y1" s="32">
        <v>24</v>
      </c>
      <c r="Z1" s="32">
        <v>25</v>
      </c>
      <c r="AA1" s="32">
        <v>26</v>
      </c>
      <c r="AB1" s="32">
        <v>27</v>
      </c>
      <c r="AC1" s="32" t="s">
        <v>253</v>
      </c>
    </row>
    <row r="2" spans="1:29" x14ac:dyDescent="0.3">
      <c r="A2" s="32" t="s">
        <v>407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0</v>
      </c>
      <c r="M2" s="33">
        <v>0</v>
      </c>
      <c r="N2" s="33">
        <v>1</v>
      </c>
      <c r="O2" s="33">
        <v>1</v>
      </c>
      <c r="P2" s="33">
        <v>1</v>
      </c>
      <c r="Q2" s="33">
        <v>0</v>
      </c>
      <c r="R2" s="33">
        <v>0</v>
      </c>
      <c r="S2" s="33">
        <v>0</v>
      </c>
      <c r="T2" s="33">
        <v>0</v>
      </c>
      <c r="U2" s="33">
        <v>0</v>
      </c>
      <c r="V2" s="33">
        <v>0</v>
      </c>
      <c r="W2" s="33">
        <v>0</v>
      </c>
      <c r="X2" s="33">
        <v>0</v>
      </c>
      <c r="Y2" s="33">
        <v>0</v>
      </c>
      <c r="Z2" s="33">
        <v>0</v>
      </c>
      <c r="AA2" s="33">
        <v>0</v>
      </c>
      <c r="AB2" s="33">
        <v>0</v>
      </c>
      <c r="AC2" s="33">
        <f>SUM(B2:AB2)</f>
        <v>3</v>
      </c>
    </row>
    <row r="3" spans="1:29" x14ac:dyDescent="0.3">
      <c r="A3" s="32" t="s">
        <v>408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1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3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f t="shared" ref="AC3:AC9" si="0">SUM(B3:AB3)</f>
        <v>4</v>
      </c>
    </row>
    <row r="4" spans="1:29" x14ac:dyDescent="0.3">
      <c r="A4" s="32" t="s">
        <v>409</v>
      </c>
      <c r="B4" s="33">
        <v>0</v>
      </c>
      <c r="C4" s="33">
        <v>0</v>
      </c>
      <c r="D4" s="33">
        <v>0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</v>
      </c>
      <c r="M4" s="33">
        <v>1</v>
      </c>
      <c r="N4" s="33">
        <v>1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0</v>
      </c>
      <c r="U4" s="33">
        <v>0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f t="shared" si="0"/>
        <v>3</v>
      </c>
    </row>
    <row r="5" spans="1:29" x14ac:dyDescent="0.3">
      <c r="A5" s="32" t="s">
        <v>410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1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f t="shared" si="0"/>
        <v>1</v>
      </c>
    </row>
    <row r="6" spans="1:29" x14ac:dyDescent="0.3">
      <c r="A6" s="32" t="s">
        <v>411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1</v>
      </c>
      <c r="N6" s="33">
        <v>1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f t="shared" si="0"/>
        <v>2</v>
      </c>
    </row>
    <row r="7" spans="1:29" x14ac:dyDescent="0.3">
      <c r="A7" s="32" t="s">
        <v>412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1</v>
      </c>
      <c r="N7" s="33">
        <v>1</v>
      </c>
      <c r="O7" s="33">
        <v>2</v>
      </c>
      <c r="P7" s="33">
        <v>1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f>SUM(B7:AB7)</f>
        <v>5</v>
      </c>
    </row>
    <row r="8" spans="1:29" x14ac:dyDescent="0.3">
      <c r="A8" s="32" t="s">
        <v>413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1</v>
      </c>
      <c r="O8" s="33">
        <v>2</v>
      </c>
      <c r="P8" s="33">
        <v>0</v>
      </c>
      <c r="Q8" s="33">
        <v>0</v>
      </c>
      <c r="R8" s="33">
        <v>1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f t="shared" si="0"/>
        <v>4</v>
      </c>
    </row>
    <row r="9" spans="1:29" x14ac:dyDescent="0.3">
      <c r="A9" s="32" t="s">
        <v>414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1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f t="shared" si="0"/>
        <v>1</v>
      </c>
    </row>
    <row r="10" spans="1:29" x14ac:dyDescent="0.3">
      <c r="A10" s="32" t="s">
        <v>415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3</v>
      </c>
      <c r="O10" s="33">
        <v>1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f t="shared" ref="AC10:AC15" si="1">SUM(B10:AB10)</f>
        <v>4</v>
      </c>
    </row>
    <row r="11" spans="1:29" x14ac:dyDescent="0.3">
      <c r="A11" s="32" t="s">
        <v>416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1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f t="shared" si="1"/>
        <v>1</v>
      </c>
    </row>
    <row r="12" spans="1:29" x14ac:dyDescent="0.3">
      <c r="A12" s="32" t="s">
        <v>417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0</v>
      </c>
      <c r="Q12" s="33">
        <v>1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f t="shared" si="1"/>
        <v>6</v>
      </c>
    </row>
    <row r="13" spans="1:29" x14ac:dyDescent="0.3">
      <c r="A13" s="32" t="s">
        <v>418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1</v>
      </c>
      <c r="N13" s="33">
        <v>1</v>
      </c>
      <c r="O13" s="33">
        <v>1</v>
      </c>
      <c r="P13" s="33">
        <v>0</v>
      </c>
      <c r="Q13" s="33">
        <v>0</v>
      </c>
      <c r="R13" s="33">
        <v>1</v>
      </c>
      <c r="S13" s="33">
        <v>1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f t="shared" si="1"/>
        <v>5</v>
      </c>
    </row>
    <row r="14" spans="1:29" x14ac:dyDescent="0.3">
      <c r="A14" s="32" t="s">
        <v>419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2</v>
      </c>
      <c r="O14" s="33">
        <v>2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f t="shared" si="1"/>
        <v>4</v>
      </c>
    </row>
    <row r="15" spans="1:29" x14ac:dyDescent="0.3">
      <c r="A15" s="32" t="s">
        <v>420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1</v>
      </c>
      <c r="O15" s="33">
        <v>1</v>
      </c>
      <c r="P15" s="33">
        <v>0</v>
      </c>
      <c r="Q15" s="33">
        <v>1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f t="shared" si="1"/>
        <v>3</v>
      </c>
    </row>
    <row r="16" spans="1:29" x14ac:dyDescent="0.3">
      <c r="A16" s="34" t="s">
        <v>237</v>
      </c>
      <c r="B16" s="34">
        <f t="shared" ref="B16:AC16" si="2">AVERAGE(B2:B9)</f>
        <v>0</v>
      </c>
      <c r="C16" s="34">
        <f t="shared" si="2"/>
        <v>0</v>
      </c>
      <c r="D16" s="34">
        <f t="shared" si="2"/>
        <v>0</v>
      </c>
      <c r="E16" s="34">
        <f t="shared" si="2"/>
        <v>0</v>
      </c>
      <c r="F16" s="34">
        <f t="shared" si="2"/>
        <v>0</v>
      </c>
      <c r="G16" s="34">
        <f t="shared" si="2"/>
        <v>0</v>
      </c>
      <c r="H16" s="34">
        <f t="shared" si="2"/>
        <v>0</v>
      </c>
      <c r="I16" s="34">
        <f t="shared" si="2"/>
        <v>0</v>
      </c>
      <c r="J16" s="34">
        <f t="shared" si="2"/>
        <v>0</v>
      </c>
      <c r="K16" s="34">
        <f t="shared" si="2"/>
        <v>0</v>
      </c>
      <c r="L16" s="34">
        <f t="shared" si="2"/>
        <v>0.125</v>
      </c>
      <c r="M16" s="34">
        <f t="shared" si="2"/>
        <v>0.5</v>
      </c>
      <c r="N16" s="34">
        <f t="shared" si="2"/>
        <v>0.75</v>
      </c>
      <c r="O16" s="34">
        <f t="shared" si="2"/>
        <v>0.75</v>
      </c>
      <c r="P16" s="34">
        <f t="shared" si="2"/>
        <v>0.25</v>
      </c>
      <c r="Q16" s="34">
        <f t="shared" si="2"/>
        <v>0</v>
      </c>
      <c r="R16" s="34">
        <f t="shared" si="2"/>
        <v>0.125</v>
      </c>
      <c r="S16" s="34">
        <f t="shared" si="2"/>
        <v>0</v>
      </c>
      <c r="T16" s="34">
        <f t="shared" si="2"/>
        <v>0.375</v>
      </c>
      <c r="U16" s="34">
        <f t="shared" si="2"/>
        <v>0</v>
      </c>
      <c r="V16" s="34">
        <f t="shared" si="2"/>
        <v>0</v>
      </c>
      <c r="W16" s="34">
        <f t="shared" si="2"/>
        <v>0</v>
      </c>
      <c r="X16" s="34">
        <f t="shared" si="2"/>
        <v>0</v>
      </c>
      <c r="Y16" s="34">
        <f t="shared" si="2"/>
        <v>0</v>
      </c>
      <c r="Z16" s="34">
        <f t="shared" si="2"/>
        <v>0</v>
      </c>
      <c r="AA16" s="34">
        <f t="shared" si="2"/>
        <v>0</v>
      </c>
      <c r="AB16" s="34">
        <f t="shared" si="2"/>
        <v>0</v>
      </c>
      <c r="AC16" s="34">
        <f t="shared" si="2"/>
        <v>2.875</v>
      </c>
    </row>
    <row r="17" spans="1:29" x14ac:dyDescent="0.3">
      <c r="A17" s="32" t="s">
        <v>264</v>
      </c>
      <c r="B17" s="32">
        <f t="shared" ref="B17:AC17" si="3">MEDIAN(B2:B9)</f>
        <v>0</v>
      </c>
      <c r="C17" s="32">
        <f t="shared" si="3"/>
        <v>0</v>
      </c>
      <c r="D17" s="32">
        <f t="shared" si="3"/>
        <v>0</v>
      </c>
      <c r="E17" s="32">
        <f t="shared" si="3"/>
        <v>0</v>
      </c>
      <c r="F17" s="32">
        <f t="shared" si="3"/>
        <v>0</v>
      </c>
      <c r="G17" s="32">
        <f t="shared" si="3"/>
        <v>0</v>
      </c>
      <c r="H17" s="32">
        <f t="shared" si="3"/>
        <v>0</v>
      </c>
      <c r="I17" s="32">
        <f t="shared" si="3"/>
        <v>0</v>
      </c>
      <c r="J17" s="32">
        <f t="shared" si="3"/>
        <v>0</v>
      </c>
      <c r="K17" s="32">
        <f t="shared" si="3"/>
        <v>0</v>
      </c>
      <c r="L17" s="32">
        <f t="shared" si="3"/>
        <v>0</v>
      </c>
      <c r="M17" s="32">
        <f t="shared" si="3"/>
        <v>0.5</v>
      </c>
      <c r="N17" s="32">
        <f t="shared" si="3"/>
        <v>1</v>
      </c>
      <c r="O17" s="32">
        <f t="shared" si="3"/>
        <v>0.5</v>
      </c>
      <c r="P17" s="32">
        <f t="shared" si="3"/>
        <v>0</v>
      </c>
      <c r="Q17" s="32">
        <f t="shared" si="3"/>
        <v>0</v>
      </c>
      <c r="R17" s="32">
        <f t="shared" si="3"/>
        <v>0</v>
      </c>
      <c r="S17" s="32">
        <f t="shared" si="3"/>
        <v>0</v>
      </c>
      <c r="T17" s="32">
        <f t="shared" si="3"/>
        <v>0</v>
      </c>
      <c r="U17" s="32">
        <f t="shared" si="3"/>
        <v>0</v>
      </c>
      <c r="V17" s="32">
        <f t="shared" si="3"/>
        <v>0</v>
      </c>
      <c r="W17" s="32">
        <f t="shared" si="3"/>
        <v>0</v>
      </c>
      <c r="X17" s="32">
        <f t="shared" si="3"/>
        <v>0</v>
      </c>
      <c r="Y17" s="32">
        <f t="shared" si="3"/>
        <v>0</v>
      </c>
      <c r="Z17" s="32">
        <f t="shared" si="3"/>
        <v>0</v>
      </c>
      <c r="AA17" s="32">
        <f t="shared" si="3"/>
        <v>0</v>
      </c>
      <c r="AB17" s="32">
        <f t="shared" si="3"/>
        <v>0</v>
      </c>
      <c r="AC17" s="32">
        <f t="shared" si="3"/>
        <v>3</v>
      </c>
    </row>
    <row r="18" spans="1:29" x14ac:dyDescent="0.3">
      <c r="A18" s="32" t="s">
        <v>265</v>
      </c>
      <c r="B18" s="32">
        <f t="shared" ref="B18:AC18" si="4">_xlfn.MODE.SNGL(B2:B9)</f>
        <v>0</v>
      </c>
      <c r="C18" s="32">
        <f t="shared" si="4"/>
        <v>0</v>
      </c>
      <c r="D18" s="32">
        <f t="shared" si="4"/>
        <v>0</v>
      </c>
      <c r="E18" s="32">
        <f t="shared" si="4"/>
        <v>0</v>
      </c>
      <c r="F18" s="32">
        <f t="shared" si="4"/>
        <v>0</v>
      </c>
      <c r="G18" s="32">
        <f t="shared" si="4"/>
        <v>0</v>
      </c>
      <c r="H18" s="32">
        <f t="shared" si="4"/>
        <v>0</v>
      </c>
      <c r="I18" s="32">
        <f t="shared" si="4"/>
        <v>0</v>
      </c>
      <c r="J18" s="32">
        <f t="shared" si="4"/>
        <v>0</v>
      </c>
      <c r="K18" s="32">
        <f t="shared" si="4"/>
        <v>0</v>
      </c>
      <c r="L18" s="32">
        <f t="shared" si="4"/>
        <v>0</v>
      </c>
      <c r="M18" s="32">
        <f t="shared" si="4"/>
        <v>0</v>
      </c>
      <c r="N18" s="32">
        <f t="shared" si="4"/>
        <v>1</v>
      </c>
      <c r="O18" s="32">
        <f t="shared" si="4"/>
        <v>0</v>
      </c>
      <c r="P18" s="32">
        <f t="shared" si="4"/>
        <v>0</v>
      </c>
      <c r="Q18" s="32">
        <f t="shared" si="4"/>
        <v>0</v>
      </c>
      <c r="R18" s="32">
        <f t="shared" si="4"/>
        <v>0</v>
      </c>
      <c r="S18" s="32">
        <f t="shared" si="4"/>
        <v>0</v>
      </c>
      <c r="T18" s="32">
        <f t="shared" si="4"/>
        <v>0</v>
      </c>
      <c r="U18" s="32">
        <f t="shared" si="4"/>
        <v>0</v>
      </c>
      <c r="V18" s="32">
        <f t="shared" si="4"/>
        <v>0</v>
      </c>
      <c r="W18" s="32">
        <f t="shared" si="4"/>
        <v>0</v>
      </c>
      <c r="X18" s="32">
        <f t="shared" si="4"/>
        <v>0</v>
      </c>
      <c r="Y18" s="32">
        <f t="shared" si="4"/>
        <v>0</v>
      </c>
      <c r="Z18" s="32">
        <f t="shared" si="4"/>
        <v>0</v>
      </c>
      <c r="AA18" s="32">
        <f t="shared" si="4"/>
        <v>0</v>
      </c>
      <c r="AB18" s="32">
        <f t="shared" si="4"/>
        <v>0</v>
      </c>
      <c r="AC18" s="32">
        <f t="shared" si="4"/>
        <v>3</v>
      </c>
    </row>
    <row r="19" spans="1:29" x14ac:dyDescent="0.3">
      <c r="A19" s="32" t="s">
        <v>266</v>
      </c>
      <c r="B19" s="33">
        <f t="shared" ref="B19:AC19" si="5">_xlfn.STDEV.P(B2:B9)</f>
        <v>0</v>
      </c>
      <c r="C19" s="33">
        <f t="shared" si="5"/>
        <v>0</v>
      </c>
      <c r="D19" s="33">
        <f t="shared" si="5"/>
        <v>0</v>
      </c>
      <c r="E19" s="33">
        <f t="shared" si="5"/>
        <v>0</v>
      </c>
      <c r="F19" s="33">
        <f t="shared" si="5"/>
        <v>0</v>
      </c>
      <c r="G19" s="33">
        <f t="shared" si="5"/>
        <v>0</v>
      </c>
      <c r="H19" s="33">
        <f t="shared" si="5"/>
        <v>0</v>
      </c>
      <c r="I19" s="33">
        <f t="shared" si="5"/>
        <v>0</v>
      </c>
      <c r="J19" s="33">
        <f t="shared" si="5"/>
        <v>0</v>
      </c>
      <c r="K19" s="33">
        <f t="shared" si="5"/>
        <v>0</v>
      </c>
      <c r="L19" s="33">
        <f t="shared" si="5"/>
        <v>0.33071891388307384</v>
      </c>
      <c r="M19" s="33">
        <f t="shared" si="5"/>
        <v>0.5</v>
      </c>
      <c r="N19" s="33">
        <f t="shared" si="5"/>
        <v>0.4330127018922193</v>
      </c>
      <c r="O19" s="33">
        <f t="shared" si="5"/>
        <v>0.82915619758884995</v>
      </c>
      <c r="P19" s="33">
        <f t="shared" si="5"/>
        <v>0.4330127018922193</v>
      </c>
      <c r="Q19" s="33">
        <f t="shared" si="5"/>
        <v>0</v>
      </c>
      <c r="R19" s="33">
        <f t="shared" si="5"/>
        <v>0.33071891388307384</v>
      </c>
      <c r="S19" s="33">
        <f t="shared" si="5"/>
        <v>0</v>
      </c>
      <c r="T19" s="33">
        <f t="shared" si="5"/>
        <v>0.99215674164922152</v>
      </c>
      <c r="U19" s="33">
        <f t="shared" si="5"/>
        <v>0</v>
      </c>
      <c r="V19" s="33">
        <f t="shared" si="5"/>
        <v>0</v>
      </c>
      <c r="W19" s="33">
        <f t="shared" si="5"/>
        <v>0</v>
      </c>
      <c r="X19" s="33">
        <f t="shared" si="5"/>
        <v>0</v>
      </c>
      <c r="Y19" s="33">
        <f t="shared" si="5"/>
        <v>0</v>
      </c>
      <c r="Z19" s="33">
        <f t="shared" si="5"/>
        <v>0</v>
      </c>
      <c r="AA19" s="33">
        <f t="shared" si="5"/>
        <v>0</v>
      </c>
      <c r="AB19" s="33">
        <f t="shared" si="5"/>
        <v>0</v>
      </c>
      <c r="AC19" s="33">
        <f t="shared" si="5"/>
        <v>1.3635890143294642</v>
      </c>
    </row>
  </sheetData>
  <conditionalFormatting sqref="B2:AB15">
    <cfRule type="colorScale" priority="2">
      <colorScale>
        <cfvo type="num" val="0"/>
        <cfvo type="num" val="3"/>
        <color theme="0"/>
        <color theme="6" tint="0.39997558519241921"/>
      </colorScale>
    </cfRule>
  </conditionalFormatting>
  <conditionalFormatting sqref="B16:AC18">
    <cfRule type="colorScale" priority="1">
      <colorScale>
        <cfvo type="num" val="0"/>
        <cfvo type="num" val="3"/>
        <color theme="0"/>
        <color theme="6" tint="0.39997558519241921"/>
      </colorScale>
    </cfRule>
  </conditionalFormatting>
  <conditionalFormatting sqref="AC2:AC15">
    <cfRule type="colorScale" priority="3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WT</vt:lpstr>
      <vt:lpstr>Her7</vt:lpstr>
      <vt:lpstr>Her1</vt:lpstr>
      <vt:lpstr>Loop</vt:lpstr>
      <vt:lpstr>Analysis</vt:lpstr>
      <vt:lpstr>WT_c</vt:lpstr>
      <vt:lpstr>WT_35</vt:lpstr>
      <vt:lpstr>WT_37</vt:lpstr>
      <vt:lpstr>WT_39</vt:lpstr>
      <vt:lpstr>her1_c</vt:lpstr>
      <vt:lpstr>her1_35</vt:lpstr>
      <vt:lpstr>her1_37</vt:lpstr>
      <vt:lpstr>her1_39</vt:lpstr>
      <vt:lpstr>loop_c</vt:lpstr>
      <vt:lpstr>loop_35</vt:lpstr>
      <vt:lpstr>loop_37</vt:lpstr>
      <vt:lpstr>loop_39</vt:lpstr>
      <vt:lpstr>her7_c</vt:lpstr>
      <vt:lpstr>her7_35</vt:lpstr>
      <vt:lpstr>her7_39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Pittet</dc:creator>
  <cp:keywords/>
  <dc:description/>
  <cp:lastModifiedBy>Claire Pittet</cp:lastModifiedBy>
  <cp:revision/>
  <dcterms:created xsi:type="dcterms:W3CDTF">2025-11-27T10:15:49Z</dcterms:created>
  <dcterms:modified xsi:type="dcterms:W3CDTF">2025-12-13T12:33:29Z</dcterms:modified>
  <cp:category/>
  <cp:contentStatus/>
</cp:coreProperties>
</file>